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dd7b2a4c4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3c75960cd784cde"/>
    <x:sheet xmlns:r="http://schemas.openxmlformats.org/officeDocument/2006/relationships" name="W1 Scope" sheetId="2" r:id="Rff4b956287c740b4"/>
    <x:sheet xmlns:r="http://schemas.openxmlformats.org/officeDocument/2006/relationships" name="W2 Sources" sheetId="3" r:id="R9eb0fa758d6f4a47"/>
    <x:sheet xmlns:r="http://schemas.openxmlformats.org/officeDocument/2006/relationships" name="W3 Strategic" sheetId="4" r:id="R8c29cf98683a4779"/>
    <x:sheet xmlns:r="http://schemas.openxmlformats.org/officeDocument/2006/relationships" name="W4 Operational" sheetId="5" r:id="R335cb538074e4e79"/>
    <x:sheet xmlns:r="http://schemas.openxmlformats.org/officeDocument/2006/relationships" name="W5 Treatment" sheetId="6" r:id="R0be76ab5e0e84735"/>
    <x:sheet xmlns:r="http://schemas.openxmlformats.org/officeDocument/2006/relationships" name="Risk Register" sheetId="7" r:id="Re28e60239fe44261"/>
    <x:sheet xmlns:r="http://schemas.openxmlformats.org/officeDocument/2006/relationships" name="Control Mapping" sheetId="8" r:id="Rc4a15acd3fff4a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B5A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5"/>
      </x:patternFill>
    </x:fill>
    <x:fill>
      <x:patternFill patternType="solid">
        <x:fgColor rgb="FF167D8D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200" fontId="0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4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FFFFFF"/>
      </x:font>
      <x:fill>
        <x:patternFill patternType="solid">
          <x:bgColor rgb="FFC0392B"/>
        </x:patternFill>
      </x:fill>
    </x:dxf>
    <x:dxf>
      <x:font>
        <x:b/>
        <x:color rgb="FFFFFFFF"/>
      </x:font>
      <x:fill>
        <x:patternFill patternType="solid">
          <x:bgColor rgb="FFE67E2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c5ebaefbd94d1e" /><Relationship Type="http://schemas.openxmlformats.org/officeDocument/2006/relationships/theme" Target="/xl/theme/theme1.xml" Id="Ra64c6e5e2dad4507" /><Relationship Type="http://schemas.openxmlformats.org/officeDocument/2006/relationships/sharedStrings" Target="/xl/sharedStrings.xml" Id="R27f9ac5d42a64fc0" /><Relationship Type="http://schemas.openxmlformats.org/officeDocument/2006/relationships/worksheet" Target="/xl/worksheets/sheet1.xml" Id="R63c75960cd784cde" /><Relationship Type="http://schemas.openxmlformats.org/officeDocument/2006/relationships/worksheet" Target="/xl/worksheets/sheet2.xml" Id="Rff4b956287c740b4" /><Relationship Type="http://schemas.openxmlformats.org/officeDocument/2006/relationships/worksheet" Target="/xl/worksheets/sheet3.xml" Id="R9eb0fa758d6f4a47" /><Relationship Type="http://schemas.openxmlformats.org/officeDocument/2006/relationships/worksheet" Target="/xl/worksheets/sheet4.xml" Id="R8c29cf98683a4779" /><Relationship Type="http://schemas.openxmlformats.org/officeDocument/2006/relationships/worksheet" Target="/xl/worksheets/sheet5.xml" Id="R335cb538074e4e79" /><Relationship Type="http://schemas.openxmlformats.org/officeDocument/2006/relationships/worksheet" Target="/xl/worksheets/sheet6.xml" Id="R0be76ab5e0e84735" /><Relationship Type="http://schemas.openxmlformats.org/officeDocument/2006/relationships/worksheet" Target="/xl/worksheets/sheet7.xml" Id="Re28e60239fe44261" /><Relationship Type="http://schemas.openxmlformats.org/officeDocument/2006/relationships/worksheet" Target="/xl/worksheets/sheet8.xml" Id="Rc4a15acd3fff4a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4" hidden="0" customWidth="1"/>
    <x:col min="4" max="4" width="15.220000267028809" hidden="0" customWidth="1"/>
    <x:col min="5" max="5" width="5.21999979019165" hidden="0" customWidth="1"/>
  </x:cols>
  <x:sheetData>
    <x:row r="1" ht="19.200000762939453" hidden="0" customHeight="1">
      <x:c r="A1" s="22" t="str">
        <x:v>AI Sales Recommendation — EBIOS RM Working File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15" hidden="0" customHeight="1">
      <x:c r="A2" s="23" t="str">
        <x:v>Synthetic reference assessment. [ASSUMPTION] and [DECISION REQUIRED] fields must be replaced in facilitated workshops; workbook scores are provisional.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 ht="15" hidden="0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 ht="15" hidden="0" customHeight="1">
      <x:c r="A4" s="25" t="str">
        <x:v>Assessment date</x:v>
      </x:c>
      <x:c r="B4" s="26" t="str">
        <x:v>2026-08-25</x:v>
      </x:c>
      <x:c r="C4" s="24"/>
      <x:c r="D4" s="27" t="str">
        <x:v>Portfolio summary</x:v>
      </x:c>
      <x:c r="E4" s="27" t="str">
        <x:v>Count</x:v>
      </x:c>
      <x:c r="F4" s="24"/>
      <x:c r="G4" s="24"/>
      <x:c r="H4" s="24"/>
      <x:c r="I4" s="24"/>
      <x:c r="J4" s="24"/>
      <x:c r="K4" s="24"/>
      <x:c r="L4" s="24"/>
      <x:c r="M4" s="24"/>
      <x:c r="N4" s="24"/>
    </x:row>
    <x:row r="5" ht="15" hidden="0" customHeight="1">
      <x:c r="A5" s="25" t="str">
        <x:v>Studied object</x:v>
      </x:c>
      <x:c r="B5" s="26" t="str">
        <x:v>Internal predictive-AI sales recommendation concept</x:v>
      </x:c>
      <x:c r="C5" s="24"/>
      <x:c r="D5" s="24" t="str">
        <x:v>Provisional risks</x:v>
      </x:c>
      <x:c r="E5" s="28" t="n">
        <x:f>COUNTA('Risk Register'!$A$4:$A$100)</x:f>
        <x:v>11</x:v>
      </x:c>
      <x:c r="F5" s="24"/>
      <x:c r="G5" s="24"/>
      <x:c r="H5" s="24"/>
      <x:c r="I5" s="24"/>
      <x:c r="J5" s="24"/>
      <x:c r="K5" s="24"/>
      <x:c r="L5" s="24"/>
      <x:c r="M5" s="24"/>
      <x:c r="N5" s="24"/>
    </x:row>
    <x:row r="6" ht="15" hidden="0" customHeight="1">
      <x:c r="A6" s="25" t="str">
        <x:v>Method</x:v>
      </x:c>
      <x:c r="B6" s="26" t="str">
        <x:v>EBIOS Risk Manager — five workshops</x:v>
      </x:c>
      <x:c r="C6" s="24"/>
      <x:c r="D6" s="24" t="str">
        <x:v>Critical inherent</x:v>
      </x:c>
      <x:c r="E6" s="28" t="n">
        <x:f>COUNTIF('Risk Register'!$F$4:$F$100,"Critical")</x:f>
        <x:v>5</x:v>
      </x:c>
      <x:c r="F6" s="24"/>
      <x:c r="G6" s="24"/>
      <x:c r="H6" s="24"/>
      <x:c r="I6" s="24"/>
      <x:c r="J6" s="24"/>
      <x:c r="K6" s="24"/>
      <x:c r="L6" s="24"/>
      <x:c r="M6" s="24"/>
      <x:c r="N6" s="24"/>
    </x:row>
    <x:row r="7" ht="15" hidden="0" customHeight="1">
      <x:c r="A7" s="25" t="str">
        <x:v>Business owner</x:v>
      </x:c>
      <x:c r="B7" s="26" t="str">
        <x:v>[DECISION REQUIRED]</x:v>
      </x:c>
      <x:c r="C7" s="24"/>
      <x:c r="D7" s="24" t="str">
        <x:v>High inherent</x:v>
      </x:c>
      <x:c r="E7" s="28" t="n">
        <x:f>COUNTIF('Risk Register'!$F$4:$F$100,"High")</x:f>
        <x:v>4</x:v>
      </x:c>
      <x:c r="F7" s="24"/>
      <x:c r="G7" s="24"/>
      <x:c r="H7" s="24"/>
      <x:c r="I7" s="24"/>
      <x:c r="J7" s="24"/>
      <x:c r="K7" s="24"/>
      <x:c r="L7" s="24"/>
      <x:c r="M7" s="24"/>
      <x:c r="N7" s="24"/>
    </x:row>
    <x:row r="8" ht="15" hidden="0" customHeight="1">
      <x:c r="A8" s="25" t="str">
        <x:v>Risk method</x:v>
      </x:c>
      <x:c r="B8" s="26" t="str">
        <x:v>[ASSUMPTION] Severity × likelihood on a 4×4 ordinal scale</x:v>
      </x:c>
      <x:c r="C8" s="24"/>
      <x:c r="D8" s="24" t="str">
        <x:v>Open risks</x:v>
      </x:c>
      <x:c r="E8" s="28" t="n">
        <x:f>COUNTIF('Risk Register'!$M$4:$M$100,"Open")</x:f>
        <x:v>10</x:v>
      </x:c>
      <x:c r="F8" s="24"/>
      <x:c r="G8" s="24"/>
      <x:c r="H8" s="24"/>
      <x:c r="I8" s="24"/>
      <x:c r="J8" s="24"/>
      <x:c r="K8" s="24"/>
      <x:c r="L8" s="24"/>
      <x:c r="M8" s="24"/>
      <x:c r="N8" s="24"/>
    </x:row>
    <x:row r="9" ht="15" hidden="0" customHeight="1">
      <x:c r="A9" s="25" t="str">
        <x:v>Production status</x:v>
      </x:c>
      <x:c r="B9" s="26" t="str">
        <x:v>Not assessed</x:v>
      </x:c>
      <x:c r="C9" s="24"/>
      <x:c r="D9" s="24" t="str">
        <x:v>Treatment measures</x:v>
      </x:c>
      <x:c r="E9" s="28" t="n">
        <x:f>COUNTA('W5 Treatment'!$A$4:$A$100)</x:f>
        <x:v>13</x:v>
      </x:c>
      <x:c r="F9" s="24"/>
      <x:c r="G9" s="24"/>
      <x:c r="H9" s="24"/>
      <x:c r="I9" s="24"/>
      <x:c r="J9" s="24"/>
      <x:c r="K9" s="24"/>
      <x:c r="L9" s="24"/>
      <x:c r="M9" s="24"/>
      <x:c r="N9" s="24"/>
    </x:row>
    <x:row r="10" ht="15" hidden="0" customHeight="1">
      <x:c r="A10" s="25" t="str">
        <x:v>Source</x:v>
      </x:c>
      <x:c r="B10" s="26" t="str">
        <x:v>https://messervices.cyber.gouv.fr/guides/la-methode-ebios-risk-manager-le-guide</x:v>
      </x:c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4" hidden="0" customWidth="1"/>
    <x:col min="3" max="3" width="38" hidden="0" customWidth="1"/>
    <x:col min="4" max="4" width="13.329999923706055" hidden="0" customWidth="1"/>
    <x:col min="5" max="5" width="62" hidden="0" customWidth="1"/>
  </x:cols>
  <x:sheetData>
    <x:row r="1" ht="19.200000762939453" hidden="0" customHeight="1">
      <x:c r="A1" s="22" t="str">
        <x:v>Workshop 1 — Scope and Security Baseline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15" hidden="0" customHeight="1">
      <x:c r="A2" s="23" t="str">
        <x:v>Confirm mission, business values, supporting assets, feared events, severity and baseline evidence.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 ht="15" hidden="0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 ht="15" hidden="0" customHeight="1">
      <x:c r="A4" s="27" t="str">
        <x:v>ID</x:v>
      </x:c>
      <x:c r="B4" s="27" t="str">
        <x:v>Business value</x:v>
      </x:c>
      <x:c r="C4" s="27" t="str">
        <x:v>Security needs</x:v>
      </x:c>
      <x:c r="D4" s="27" t="str">
        <x:v>Validation status</x:v>
      </x:c>
      <x:c r="E4" s="24"/>
      <x:c r="F4" s="24"/>
      <x:c r="G4" s="24"/>
      <x:c r="H4" s="24"/>
      <x:c r="I4" s="24"/>
      <x:c r="J4" s="24"/>
      <x:c r="K4" s="24"/>
      <x:c r="L4" s="24"/>
      <x:c r="M4" s="24"/>
      <x:c r="N4" s="24"/>
    </x:row>
    <x:row r="5" ht="15" hidden="0" customHeight="1">
      <x:c r="A5" s="24" t="str">
        <x:v>BV-01</x:v>
      </x:c>
      <x:c r="B5" s="24" t="str">
        <x:v>Customer information and trust</x:v>
      </x:c>
      <x:c r="C5" s="24" t="str">
        <x:v>Confidentiality, integrity, privacy, accountability</x:v>
      </x:c>
      <x:c r="D5" s="24" t="str">
        <x:v>[ASSUMPTION]</x:v>
      </x:c>
      <x:c r="E5" s="24"/>
      <x:c r="F5" s="24"/>
      <x:c r="G5" s="24"/>
      <x:c r="H5" s="24"/>
      <x:c r="I5" s="24"/>
      <x:c r="J5" s="24"/>
      <x:c r="K5" s="24"/>
      <x:c r="L5" s="24"/>
      <x:c r="M5" s="24"/>
      <x:c r="N5" s="24"/>
    </x:row>
    <x:row r="6" ht="15" hidden="0" customHeight="1">
      <x:c r="A6" s="24" t="str">
        <x:v>BV-02</x:v>
      </x:c>
      <x:c r="B6" s="24" t="str">
        <x:v>Sales and transaction information</x:v>
      </x:c>
      <x:c r="C6" s="24" t="str">
        <x:v>Confidentiality, integrity, availability</x:v>
      </x:c>
      <x:c r="D6" s="24" t="str">
        <x:v>[ASSUMPTION]</x:v>
      </x:c>
      <x:c r="E6" s="24"/>
      <x:c r="F6" s="24"/>
      <x:c r="G6" s="24"/>
      <x:c r="H6" s="24"/>
      <x:c r="I6" s="24"/>
      <x:c r="J6" s="24"/>
      <x:c r="K6" s="24"/>
      <x:c r="L6" s="24"/>
      <x:c r="M6" s="24"/>
      <x:c r="N6" s="24"/>
    </x:row>
    <x:row r="7" ht="15" hidden="0" customHeight="1">
      <x:c r="A7" s="24" t="str">
        <x:v>BV-03</x:v>
      </x:c>
      <x:c r="B7" s="24" t="str">
        <x:v>Recommendation correctness</x:v>
      </x:c>
      <x:c r="C7" s="24" t="str">
        <x:v>Integrity, reliability, explainability</x:v>
      </x:c>
      <x:c r="D7" s="24" t="str">
        <x:v>[ASSUMPTION]</x:v>
      </x:c>
      <x:c r="E7" s="24"/>
      <x:c r="F7" s="24"/>
      <x:c r="G7" s="24"/>
      <x:c r="H7" s="24"/>
      <x:c r="I7" s="24"/>
      <x:c r="J7" s="24"/>
      <x:c r="K7" s="24"/>
      <x:c r="L7" s="24"/>
      <x:c r="M7" s="24"/>
      <x:c r="N7" s="24"/>
    </x:row>
    <x:row r="8" ht="15" hidden="0" customHeight="1">
      <x:c r="A8" s="24" t="str">
        <x:v>BV-04</x:v>
      </x:c>
      <x:c r="B8" s="24" t="str">
        <x:v>Commercial strategy/model intelligence</x:v>
      </x:c>
      <x:c r="C8" s="24" t="str">
        <x:v>Confidentiality, integrity</x:v>
      </x:c>
      <x:c r="D8" s="24" t="str">
        <x:v>[ASSUMPTION]</x:v>
      </x:c>
      <x:c r="E8" s="24"/>
      <x:c r="F8" s="24"/>
      <x:c r="G8" s="24"/>
      <x:c r="H8" s="24"/>
      <x:c r="I8" s="24"/>
      <x:c r="J8" s="24"/>
      <x:c r="K8" s="24"/>
      <x:c r="L8" s="24"/>
      <x:c r="M8" s="24"/>
      <x:c r="N8" s="24"/>
    </x:row>
    <x:row r="9" ht="15" hidden="0" customHeight="1">
      <x:c r="A9" s="24" t="str">
        <x:v>BV-05</x:v>
      </x:c>
      <x:c r="B9" s="24" t="str">
        <x:v>Sales decision process</x:v>
      </x:c>
      <x:c r="C9" s="24" t="str">
        <x:v>Availability, oversight, traceability</x:v>
      </x:c>
      <x:c r="D9" s="24" t="str">
        <x:v>[ASSUMPTION]</x:v>
      </x:c>
      <x:c r="E9" s="24"/>
      <x:c r="F9" s="24"/>
      <x:c r="G9" s="24"/>
      <x:c r="H9" s="24"/>
      <x:c r="I9" s="24"/>
      <x:c r="J9" s="24"/>
      <x:c r="K9" s="24"/>
      <x:c r="L9" s="24"/>
      <x:c r="M9" s="24"/>
      <x:c r="N9" s="24"/>
    </x:row>
    <x:row r="10" ht="15" hidden="0" customHeight="1">
      <x:c r="A10" s="24" t="str">
        <x:v>BV-06</x:v>
      </x:c>
      <x:c r="B10" s="24" t="str">
        <x:v>Revenue and customer relationship</x:v>
      </x:c>
      <x:c r="C10" s="24" t="str">
        <x:v>Integrity, availability, fairness</x:v>
      </x:c>
      <x:c r="D10" s="24" t="str">
        <x:v>[ASSUMPTION]</x:v>
      </x:c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</x:row>
    <x:row r="11" ht="15" hidden="0" customHeight="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</x:row>
    <x:row r="12" ht="15" hidden="0" customHeight="1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</x:row>
    <x:row r="13" ht="15" hidden="0" customHeight="1">
      <x:c r="A13" s="27" t="str">
        <x:v>ID</x:v>
      </x:c>
      <x:c r="B13" s="27" t="str">
        <x:v>Feared event</x:v>
      </x:c>
      <x:c r="C13" s="27" t="str">
        <x:v>Business values</x:v>
      </x:c>
      <x:c r="D13" s="27" t="str">
        <x:v>Severity</x:v>
      </x:c>
      <x:c r="E13" s="27" t="str">
        <x:v>Rationale</x:v>
      </x:c>
      <x:c r="F13" s="24"/>
      <x:c r="G13" s="24"/>
      <x:c r="H13" s="24"/>
      <x:c r="I13" s="24"/>
      <x:c r="J13" s="24"/>
      <x:c r="K13" s="24"/>
      <x:c r="L13" s="24"/>
      <x:c r="M13" s="24"/>
      <x:c r="N13" s="24"/>
    </x:row>
    <x:row r="14" ht="34" hidden="0" customHeight="1">
      <x:c r="A14" s="24" t="str">
        <x:v>FE-01</x:v>
      </x:c>
      <x:c r="B14" s="24" t="str">
        <x:v>Unauthorized disclosure of customer information</x:v>
      </x:c>
      <x:c r="C14" s="24" t="str">
        <x:v>BV-01; BV-02</x:v>
      </x:c>
      <x:c r="D14" s="30" t="n">
        <x:v>4</x:v>
      </x:c>
      <x:c r="E14" s="24" t="str">
        <x:v>Potential material privacy, trust, contractual and legal harm; data scope unknown.</x:v>
      </x:c>
      <x:c r="F14" s="24"/>
      <x:c r="G14" s="24"/>
      <x:c r="H14" s="24"/>
      <x:c r="I14" s="24"/>
      <x:c r="J14" s="24"/>
      <x:c r="K14" s="24"/>
      <x:c r="L14" s="24"/>
      <x:c r="M14" s="24"/>
      <x:c r="N14" s="24"/>
    </x:row>
    <x:row r="15" ht="34" hidden="0" customHeight="1">
      <x:c r="A15" s="24" t="str">
        <x:v>FE-02</x:v>
      </x:c>
      <x:c r="B15" s="24" t="str">
        <x:v>Corruption of customer/sales/training information</x:v>
      </x:c>
      <x:c r="C15" s="24" t="str">
        <x:v>BV-01; BV-02; BV-03</x:v>
      </x:c>
      <x:c r="D15" s="30" t="n">
        <x:v>4</x:v>
      </x:c>
      <x:c r="E15" s="24" t="str">
        <x:v>Can systematically corrupt training and business decisions.</x:v>
      </x:c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 ht="34" hidden="0" customHeight="1">
      <x:c r="A16" s="24" t="str">
        <x:v>FE-03</x:v>
      </x:c>
      <x:c r="B16" s="24" t="str">
        <x:v>Manipulation or unauthorized replacement of model/recommendations</x:v>
      </x:c>
      <x:c r="C16" s="24" t="str">
        <x:v>BV-03; BV-05; BV-06</x:v>
      </x:c>
      <x:c r="D16" s="30" t="n">
        <x:v>4</x:v>
      </x:c>
      <x:c r="E16" s="24" t="str">
        <x:v>May scale incorrect or self-serving offers.</x:v>
      </x:c>
      <x:c r="F16" s="24"/>
      <x:c r="G16" s="24"/>
      <x:c r="H16" s="24"/>
      <x:c r="I16" s="24"/>
      <x:c r="J16" s="24"/>
      <x:c r="K16" s="24"/>
      <x:c r="L16" s="24"/>
      <x:c r="M16" s="24"/>
      <x:c r="N16" s="24"/>
    </x:row>
    <x:row r="17" ht="34" hidden="0" customHeight="1">
      <x:c r="A17" s="24" t="str">
        <x:v>FE-04</x:v>
      </x:c>
      <x:c r="B17" s="24" t="str">
        <x:v>Recommendation service unavailable</x:v>
      </x:c>
      <x:c r="C17" s="24" t="str">
        <x:v>BV-05; BV-06</x:v>
      </x:c>
      <x:c r="D17" s="30" t="n">
        <x:v>3</x:v>
      </x:c>
      <x:c r="E17" s="24" t="str">
        <x:v>Manual fallback and recovery objectives are unknown.</x:v>
      </x:c>
      <x:c r="F17" s="24"/>
      <x:c r="G17" s="24"/>
      <x:c r="H17" s="24"/>
      <x:c r="I17" s="24"/>
      <x:c r="J17" s="24"/>
      <x:c r="K17" s="24"/>
      <x:c r="L17" s="24"/>
      <x:c r="M17" s="24"/>
      <x:c r="N17" s="24"/>
    </x:row>
    <x:row r="18" ht="34" hidden="0" customHeight="1">
      <x:c r="A18" s="24" t="str">
        <x:v>FE-05</x:v>
      </x:c>
      <x:c r="B18" s="24" t="str">
        <x:v>Theft of model or commercial intelligence</x:v>
      </x:c>
      <x:c r="C18" s="24" t="str">
        <x:v>BV-04</x:v>
      </x:c>
      <x:c r="D18" s="30" t="n">
        <x:v>3</x:v>
      </x:c>
      <x:c r="E18" s="24" t="str">
        <x:v>Actual model/commercial value is unknown.</x:v>
      </x:c>
      <x:c r="F18" s="24"/>
      <x:c r="G18" s="24"/>
      <x:c r="H18" s="24"/>
      <x:c r="I18" s="24"/>
      <x:c r="J18" s="24"/>
      <x:c r="K18" s="24"/>
      <x:c r="L18" s="24"/>
      <x:c r="M18" s="24"/>
      <x:c r="N18" s="24"/>
    </x:row>
    <x:row r="19" ht="34" hidden="0" customHeight="1">
      <x:c r="A19" s="24" t="str">
        <x:v>FE-06</x:v>
      </x:c>
      <x:c r="B19" s="24" t="str">
        <x:v>Unfair, invalid, unexplained or drifting recommendations</x:v>
      </x:c>
      <x:c r="C19" s="24" t="str">
        <x:v>BV-01; BV-03; BV-05; BV-06</x:v>
      </x:c>
      <x:c r="D19" s="30" t="n">
        <x:v>4</x:v>
      </x:c>
      <x:c r="E19" s="24" t="str">
        <x:v>Could harm customers and trust; context is unknown.</x:v>
      </x:c>
      <x:c r="F19" s="24"/>
      <x:c r="G19" s="24"/>
      <x:c r="H19" s="24"/>
      <x:c r="I19" s="24"/>
      <x:c r="J19" s="24"/>
      <x:c r="K19" s="24"/>
      <x:c r="L19" s="24"/>
      <x:c r="M19" s="24"/>
      <x:c r="N19" s="24"/>
    </x:row>
    <x:row r="20" ht="34" hidden="0" customHeight="1">
      <x:c r="A20" s="24" t="str">
        <x:v>FE-07</x:v>
      </x:c>
      <x:c r="B20" s="24" t="str">
        <x:v>Actions and decisions cannot be reconstructed or contested</x:v>
      </x:c>
      <x:c r="C20" s="24" t="str">
        <x:v>BV-01; BV-05</x:v>
      </x:c>
      <x:c r="D20" s="30" t="n">
        <x:v>3</x:v>
      </x:c>
      <x:c r="E20" s="24" t="str">
        <x:v>Weakens accountability, response and redress.</x:v>
      </x:c>
      <x:c r="F20" s="24"/>
      <x:c r="G20" s="24"/>
      <x:c r="H20" s="24"/>
      <x:c r="I20" s="24"/>
      <x:c r="J20" s="24"/>
      <x:c r="K20" s="24"/>
      <x:c r="L20" s="24"/>
      <x:c r="M20" s="24"/>
      <x:c r="N20" s="24"/>
    </x:row>
  </x:sheetData>
  <x:mergeCells>
    <x:mergeCell ref="A1:N1"/>
    <x:mergeCell ref="A2:N2"/>
  </x:mergeCells>
  <x:dataValidations count="1">
    <x:dataValidation type="list" sqref="D14:D20">
      <x:formula1>"1,2,3,4"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0" hidden="0" customWidth="1"/>
    <x:col min="3" max="3" width="38" hidden="0" customWidth="1"/>
    <x:col min="4" max="4" width="44" hidden="0" customWidth="1"/>
    <x:col min="5" max="5" width="8.5600004196167" hidden="0" customWidth="1"/>
    <x:col min="6" max="6" width="30" hidden="0" customWidth="1"/>
  </x:cols>
  <x:sheetData>
    <x:row r="1" ht="19.200000762939453" hidden="0" customHeight="1">
      <x:c r="A1" s="22" t="str">
        <x:v>Workshop 2 — Risk Sources and Objectives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15" hidden="0" customHeight="1">
      <x:c r="A2" s="23" t="str">
        <x:v>Relevance prioritizes source/objective pairs; it is not likelihood.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 ht="15" hidden="0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 ht="15" hidden="0" customHeight="1">
      <x:c r="A4" s="27" t="str">
        <x:v>Pair ID</x:v>
      </x:c>
      <x:c r="B4" s="27" t="str">
        <x:v>Risk source</x:v>
      </x:c>
      <x:c r="C4" s="27" t="str">
        <x:v>Objective</x:v>
      </x:c>
      <x:c r="D4" s="27" t="str">
        <x:v>Capability hypothesis</x:v>
      </x:c>
      <x:c r="E4" s="27" t="str">
        <x:v>Relevance</x:v>
      </x:c>
      <x:c r="F4" s="27" t="str">
        <x:v>Feared events</x:v>
      </x:c>
      <x:c r="G4" s="24"/>
      <x:c r="H4" s="24"/>
      <x:c r="I4" s="24"/>
      <x:c r="J4" s="24"/>
      <x:c r="K4" s="24"/>
      <x:c r="L4" s="24"/>
      <x:c r="M4" s="24"/>
      <x:c r="N4" s="24"/>
    </x:row>
    <x:row r="5" ht="34" hidden="0" customHeight="1">
      <x:c r="A5" s="24" t="str">
        <x:v>RSO-01</x:v>
      </x:c>
      <x:c r="B5" s="24" t="str">
        <x:v>Cybercriminal</x:v>
      </x:c>
      <x:c r="C5" s="24" t="str">
        <x:v>Steal customer data or extort</x:v>
      </x:c>
      <x:c r="D5" s="24" t="str">
        <x:v>Commodity identity/application attacks</x:v>
      </x:c>
      <x:c r="E5" s="24" t="str">
        <x:v>High</x:v>
      </x:c>
      <x:c r="F5" s="24" t="str">
        <x:v>FE-01; FE-04</x:v>
      </x:c>
      <x:c r="G5" s="24"/>
      <x:c r="H5" s="24"/>
      <x:c r="I5" s="24"/>
      <x:c r="J5" s="24"/>
      <x:c r="K5" s="24"/>
      <x:c r="L5" s="24"/>
      <x:c r="M5" s="24"/>
      <x:c r="N5" s="24"/>
    </x:row>
    <x:row r="6" ht="34" hidden="0" customHeight="1">
      <x:c r="A6" s="24" t="str">
        <x:v>RSO-02</x:v>
      </x:c>
      <x:c r="B6" s="24" t="str">
        <x:v>Supply-chain attacker</x:v>
      </x:c>
      <x:c r="C6" s="24" t="str">
        <x:v>Reach data/model through upstream component</x:v>
      </x:c>
      <x:c r="D6" s="24" t="str">
        <x:v>Compromise package, model, image or build dependency</x:v>
      </x:c>
      <x:c r="E6" s="24" t="str">
        <x:v>High</x:v>
      </x:c>
      <x:c r="F6" s="24" t="str">
        <x:v>FE-01; FE-02; FE-03; FE-04</x:v>
      </x:c>
      <x:c r="G6" s="24"/>
      <x:c r="H6" s="24"/>
      <x:c r="I6" s="24"/>
      <x:c r="J6" s="24"/>
      <x:c r="K6" s="24"/>
      <x:c r="L6" s="24"/>
      <x:c r="M6" s="24"/>
      <x:c r="N6" s="24"/>
    </x:row>
    <x:row r="7" ht="34" hidden="0" customHeight="1">
      <x:c r="A7" s="24" t="str">
        <x:v>RSO-03</x:v>
      </x:c>
      <x:c r="B7" s="24" t="str">
        <x:v>Malicious/coerced insider</x:v>
      </x:c>
      <x:c r="C7" s="24" t="str">
        <x:v>Manipulate or export</x:v>
      </x:c>
      <x:c r="D7" s="24" t="str">
        <x:v>Legitimate access and internal knowledge</x:v>
      </x:c>
      <x:c r="E7" s="24" t="str">
        <x:v>High</x:v>
      </x:c>
      <x:c r="F7" s="24" t="str">
        <x:v>FE-01; FE-02; FE-03; FE-05; FE-07</x:v>
      </x:c>
      <x:c r="G7" s="24"/>
      <x:c r="H7" s="24"/>
      <x:c r="I7" s="24"/>
      <x:c r="J7" s="24"/>
      <x:c r="K7" s="24"/>
      <x:c r="L7" s="24"/>
      <x:c r="M7" s="24"/>
      <x:c r="N7" s="24"/>
    </x:row>
    <x:row r="8" ht="34" hidden="0" customHeight="1">
      <x:c r="A8" s="24" t="str">
        <x:v>RSO-04</x:v>
      </x:c>
      <x:c r="B8" s="24" t="str">
        <x:v>Competitor/economic actor</x:v>
      </x:c>
      <x:c r="C8" s="24" t="str">
        <x:v>Reproduce model or strategy</x:v>
      </x:c>
      <x:c r="D8" s="24" t="str">
        <x:v>Adaptive queries or insider/supplier access</x:v>
      </x:c>
      <x:c r="E8" s="24" t="str">
        <x:v>Medium</x:v>
      </x:c>
      <x:c r="F8" s="24" t="str">
        <x:v>FE-05</x:v>
      </x:c>
      <x:c r="G8" s="24"/>
      <x:c r="H8" s="24"/>
      <x:c r="I8" s="24"/>
      <x:c r="J8" s="24"/>
      <x:c r="K8" s="24"/>
      <x:c r="L8" s="24"/>
      <x:c r="M8" s="24"/>
      <x:c r="N8" s="24"/>
    </x:row>
    <x:row r="9" ht="34" hidden="0" customHeight="1">
      <x:c r="A9" s="24" t="str">
        <x:v>RSO-05</x:v>
      </x:c>
      <x:c r="B9" s="24" t="str">
        <x:v>External abuser with access</x:v>
      </x:c>
      <x:c r="C9" s="24" t="str">
        <x:v>Bias, enumerate or exhaust</x:v>
      </x:c>
      <x:c r="D9" s="24" t="str">
        <x:v>Valid or compromised inference access</x:v>
      </x:c>
      <x:c r="E9" s="24" t="str">
        <x:v>Medium</x:v>
      </x:c>
      <x:c r="F9" s="24" t="str">
        <x:v>FE-03; FE-04; FE-05; FE-06</x:v>
      </x:c>
      <x:c r="G9" s="24"/>
      <x:c r="H9" s="24"/>
      <x:c r="I9" s="24"/>
      <x:c r="J9" s="24"/>
      <x:c r="K9" s="24"/>
      <x:c r="L9" s="24"/>
      <x:c r="M9" s="24"/>
      <x:c r="N9" s="24"/>
    </x:row>
    <x:row r="10" ht="34" hidden="0" customHeight="1">
      <x:c r="A10" s="24" t="str">
        <x:v>RSO-06</x:v>
      </x:c>
      <x:c r="B10" s="24" t="str">
        <x:v>Accidental process failure</x:v>
      </x:c>
      <x:c r="C10" s="24" t="str">
        <x:v>Not malicious; creates integrity/privacy failure</x:v>
      </x:c>
      <x:c r="D10" s="24" t="str">
        <x:v>Human error, automation defect, weak governance</x:v>
      </x:c>
      <x:c r="E10" s="24" t="str">
        <x:v>High</x:v>
      </x:c>
      <x:c r="F10" s="24" t="str">
        <x:v>FE-01; FE-02; FE-03; FE-06; FE-07</x:v>
      </x:c>
      <x:c r="G10" s="24"/>
      <x:c r="H10" s="24"/>
      <x:c r="I10" s="24"/>
      <x:c r="J10" s="24"/>
      <x:c r="K10" s="24"/>
      <x:c r="L10" s="24"/>
      <x:c r="M10" s="24"/>
      <x:c r="N10" s="24"/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0" hidden="0" customWidth="1"/>
    <x:col min="3" max="3" width="52" hidden="0" customWidth="1"/>
    <x:col min="4" max="4" width="24" hidden="0" customWidth="1"/>
    <x:col min="5" max="5" width="24" hidden="0" customWidth="1"/>
  </x:cols>
  <x:sheetData>
    <x:row r="1" ht="19.200000762939453" hidden="0" customHeight="1">
      <x:c r="A1" s="22" t="str">
        <x:v>Workshop 3 — Strategic Scenarios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15" hidden="0" customHeight="1">
      <x:c r="A2" s="23" t="str">
        <x:v>Validate the ecosystem dependency and business-impact path before adding technical attack steps.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 ht="15" hidden="0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 ht="15" hidden="0" customHeight="1">
      <x:c r="A4" s="27" t="str">
        <x:v>ID</x:v>
      </x:c>
      <x:c r="B4" s="27" t="str">
        <x:v>Risk source</x:v>
      </x:c>
      <x:c r="C4" s="27" t="str">
        <x:v>Ecosystem path / target</x:v>
      </x:c>
      <x:c r="D4" s="27" t="str">
        <x:v>Feared event</x:v>
      </x:c>
      <x:c r="E4" s="27" t="str">
        <x:v>Linked pair</x:v>
      </x:c>
      <x:c r="F4" s="24"/>
      <x:c r="G4" s="24"/>
      <x:c r="H4" s="24"/>
      <x:c r="I4" s="24"/>
      <x:c r="J4" s="24"/>
      <x:c r="K4" s="24"/>
      <x:c r="L4" s="24"/>
      <x:c r="M4" s="24"/>
      <x:c r="N4" s="24"/>
    </x:row>
    <x:row r="5" ht="38" hidden="0" customHeight="1">
      <x:c r="A5" s="24" t="str">
        <x:v>SS-01</x:v>
      </x:c>
      <x:c r="B5" s="24" t="str">
        <x:v>Cybercriminal</x:v>
      </x:c>
      <x:c r="C5" s="24" t="str">
        <x:v>Compromised identity → application/API → customer information</x:v>
      </x:c>
      <x:c r="D5" s="24" t="str">
        <x:v>FE-01</x:v>
      </x:c>
      <x:c r="E5" s="24" t="str">
        <x:v>RSO-01</x:v>
      </x:c>
      <x:c r="F5" s="24"/>
      <x:c r="G5" s="24"/>
      <x:c r="H5" s="24"/>
      <x:c r="I5" s="24"/>
      <x:c r="J5" s="24"/>
      <x:c r="K5" s="24"/>
      <x:c r="L5" s="24"/>
      <x:c r="M5" s="24"/>
      <x:c r="N5" s="24"/>
    </x:row>
    <x:row r="6" ht="38" hidden="0" customHeight="1">
      <x:c r="A6" s="24" t="str">
        <x:v>SS-02</x:v>
      </x:c>
      <x:c r="B6" s="24" t="str">
        <x:v>Supply-chain attacker</x:v>
      </x:c>
      <x:c r="C6" s="24" t="str">
        <x:v>OSS registry/dependency → CI/training → data/model/service</x:v>
      </x:c>
      <x:c r="D6" s="24" t="str">
        <x:v>FE-01/02/03/04</x:v>
      </x:c>
      <x:c r="E6" s="24" t="str">
        <x:v>RSO-02</x:v>
      </x:c>
      <x:c r="F6" s="24"/>
      <x:c r="G6" s="24"/>
      <x:c r="H6" s="24"/>
      <x:c r="I6" s="24"/>
      <x:c r="J6" s="24"/>
      <x:c r="K6" s="24"/>
      <x:c r="L6" s="24"/>
      <x:c r="M6" s="24"/>
      <x:c r="N6" s="24"/>
    </x:row>
    <x:row r="7" ht="38" hidden="0" customHeight="1">
      <x:c r="A7" s="24" t="str">
        <x:v>SS-03</x:v>
      </x:c>
      <x:c r="B7" s="24" t="str">
        <x:v>Insider/process failure</x:v>
      </x:c>
      <x:c r="C7" s="24" t="str">
        <x:v>Source/data pipeline → training data → model behavior</x:v>
      </x:c>
      <x:c r="D7" s="24" t="str">
        <x:v>FE-02/03/06</x:v>
      </x:c>
      <x:c r="E7" s="24" t="str">
        <x:v>RSO-03/06</x:v>
      </x:c>
      <x:c r="F7" s="24"/>
      <x:c r="G7" s="24"/>
      <x:c r="H7" s="24"/>
      <x:c r="I7" s="24"/>
      <x:c r="J7" s="24"/>
      <x:c r="K7" s="24"/>
      <x:c r="L7" s="24"/>
      <x:c r="M7" s="24"/>
      <x:c r="N7" s="24"/>
    </x:row>
    <x:row r="8" ht="38" hidden="0" customHeight="1">
      <x:c r="A8" s="24" t="str">
        <x:v>SS-04</x:v>
      </x:c>
      <x:c r="B8" s="24" t="str">
        <x:v>Malicious admin</x:v>
      </x:c>
      <x:c r="C8" s="24" t="str">
        <x:v>Registry/deployment → inference model → recommendations</x:v>
      </x:c>
      <x:c r="D8" s="24" t="str">
        <x:v>FE-03/07</x:v>
      </x:c>
      <x:c r="E8" s="24" t="str">
        <x:v>RSO-03</x:v>
      </x:c>
      <x:c r="F8" s="24"/>
      <x:c r="G8" s="24"/>
      <x:c r="H8" s="24"/>
      <x:c r="I8" s="24"/>
      <x:c r="J8" s="24"/>
      <x:c r="K8" s="24"/>
      <x:c r="L8" s="24"/>
      <x:c r="M8" s="24"/>
      <x:c r="N8" s="24"/>
    </x:row>
    <x:row r="9" ht="38" hidden="0" customHeight="1">
      <x:c r="A9" s="24" t="str">
        <x:v>SS-05</x:v>
      </x:c>
      <x:c r="B9" s="24" t="str">
        <x:v>Competitor/abuser</x:v>
      </x:c>
      <x:c r="C9" s="24" t="str">
        <x:v>Inference API → repeated queries → model/commercial intelligence</x:v>
      </x:c>
      <x:c r="D9" s="24" t="str">
        <x:v>FE-05</x:v>
      </x:c>
      <x:c r="E9" s="24" t="str">
        <x:v>RSO-04/05</x:v>
      </x:c>
      <x:c r="F9" s="24"/>
      <x:c r="G9" s="24"/>
      <x:c r="H9" s="24"/>
      <x:c r="I9" s="24"/>
      <x:c r="J9" s="24"/>
      <x:c r="K9" s="24"/>
      <x:c r="L9" s="24"/>
      <x:c r="M9" s="24"/>
      <x:c r="N9" s="24"/>
    </x:row>
    <x:row r="10" ht="38" hidden="0" customHeight="1">
      <x:c r="A10" s="24" t="str">
        <x:v>SS-06</x:v>
      </x:c>
      <x:c r="B10" s="24" t="str">
        <x:v>Abuser/failure</x:v>
      </x:c>
      <x:c r="C10" s="24" t="str">
        <x:v>API/platform/dependency → capacity</x:v>
      </x:c>
      <x:c r="D10" s="24" t="str">
        <x:v>FE-04</x:v>
      </x:c>
      <x:c r="E10" s="24" t="str">
        <x:v>RSO-01/05/06</x:v>
      </x:c>
      <x:c r="F10" s="24"/>
      <x:c r="G10" s="24"/>
      <x:c r="H10" s="24"/>
      <x:c r="I10" s="24"/>
      <x:c r="J10" s="24"/>
      <x:c r="K10" s="24"/>
      <x:c r="L10" s="24"/>
      <x:c r="M10" s="24"/>
      <x:c r="N10" s="24"/>
    </x:row>
    <x:row r="11" ht="38" hidden="0" customHeight="1">
      <x:c r="A11" s="24" t="str">
        <x:v>SS-07</x:v>
      </x:c>
      <x:c r="B11" s="24" t="str">
        <x:v>Lifecycle failure</x:v>
      </x:c>
      <x:c r="C11" s="24" t="str">
        <x:v>Unchecked drift/group failure → customer treatment</x:v>
      </x:c>
      <x:c r="D11" s="24" t="str">
        <x:v>FE-06</x:v>
      </x:c>
      <x:c r="E11" s="24" t="str">
        <x:v>RSO-06</x:v>
      </x:c>
      <x:c r="F11" s="24"/>
      <x:c r="G11" s="24"/>
      <x:c r="H11" s="24"/>
      <x:c r="I11" s="24"/>
      <x:c r="J11" s="24"/>
      <x:c r="K11" s="24"/>
      <x:c r="L11" s="24"/>
      <x:c r="M11" s="24"/>
      <x:c r="N11" s="24"/>
    </x:row>
    <x:row r="12" ht="38" hidden="0" customHeight="1">
      <x:c r="A12" s="24" t="str">
        <x:v>SS-08</x:v>
      </x:c>
      <x:c r="B12" s="24" t="str">
        <x:v>Operations/process failure</x:v>
      </x:c>
      <x:c r="C12" s="24" t="str">
        <x:v>Sensitive logs → unauthorized readers</x:v>
      </x:c>
      <x:c r="D12" s="24" t="str">
        <x:v>FE-01/07</x:v>
      </x:c>
      <x:c r="E12" s="24" t="str">
        <x:v>RSO-03/06</x:v>
      </x:c>
      <x:c r="F12" s="24"/>
      <x:c r="G12" s="24"/>
      <x:c r="H12" s="24"/>
      <x:c r="I12" s="24"/>
      <x:c r="J12" s="24"/>
      <x:c r="K12" s="24"/>
      <x:c r="L12" s="24"/>
      <x:c r="M12" s="24"/>
      <x:c r="N12" s="24"/>
    </x:row>
  </x:sheetData>
  <x:mergeCells>
    <x:mergeCell ref="A1:N1"/>
    <x:mergeCell ref="A2: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2" hidden="0" customWidth="1"/>
    <x:col min="3" max="3" width="8.890000343322754" hidden="0" customWidth="1"/>
    <x:col min="4" max="4" width="38" hidden="0" customWidth="1"/>
    <x:col min="5" max="5" width="48" hidden="0" customWidth="1"/>
    <x:col min="6" max="6" width="24" hidden="0" customWidth="1"/>
  </x:cols>
  <x:sheetData>
    <x:row r="1" ht="19.200000762939453" hidden="0" customHeight="1">
      <x:c r="A1" s="22" t="str">
        <x:v>Workshop 4 — Operational Scenarios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15" hidden="0" customHeight="1">
      <x:c r="A2" s="23" t="str">
        <x:v>Plausibility and attack steps are provisional until real exposure and controls are confirmed.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 ht="15" hidden="0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 ht="15" hidden="0" customHeight="1">
      <x:c r="A4" s="27" t="str">
        <x:v>ID</x:v>
      </x:c>
      <x:c r="B4" s="27" t="str">
        <x:v>Attack/failure path</x:v>
      </x:c>
      <x:c r="C4" s="27" t="str">
        <x:v>Plausibility</x:v>
      </x:c>
      <x:c r="D4" s="27" t="str">
        <x:v>ATLAS / OWASP</x:v>
      </x:c>
      <x:c r="E4" s="27" t="str">
        <x:v>Control points</x:v>
      </x:c>
      <x:c r="F4" s="27" t="str">
        <x:v>Risk IDs</x:v>
      </x:c>
      <x:c r="G4" s="24"/>
      <x:c r="H4" s="24"/>
      <x:c r="I4" s="24"/>
      <x:c r="J4" s="24"/>
      <x:c r="K4" s="24"/>
      <x:c r="L4" s="24"/>
      <x:c r="M4" s="24"/>
      <x:c r="N4" s="24"/>
    </x:row>
    <x:row r="5" ht="42" hidden="0" customHeight="1">
      <x:c r="A5" s="24" t="str">
        <x:v>OS-01</x:v>
      </x:c>
      <x:c r="B5" s="24" t="str">
        <x:v>Steal identity → abuse access → enumerate/export customer-linked data</x:v>
      </x:c>
      <x:c r="C5" s="30" t="n">
        <x:v>3</x:v>
      </x:c>
      <x:c r="D5" s="24" t="str">
        <x:v>Enterprise identity path</x:v>
      </x:c>
      <x:c r="E5" s="24" t="str">
        <x:v>MFA, least privilege, authorization, monitoring</x:v>
      </x:c>
      <x:c r="F5" s="24" t="str">
        <x:v>R-01; R-09</x:v>
      </x:c>
      <x:c r="G5" s="24"/>
      <x:c r="H5" s="24"/>
      <x:c r="I5" s="24"/>
      <x:c r="J5" s="24"/>
      <x:c r="K5" s="24"/>
      <x:c r="L5" s="24"/>
      <x:c r="M5" s="24"/>
      <x:c r="N5" s="24"/>
    </x:row>
    <x:row r="6" ht="42" hidden="0" customHeight="1">
      <x:c r="A6" s="24" t="str">
        <x:v>OS-02</x:v>
      </x:c>
      <x:c r="B6" s="24" t="str">
        <x:v>Modify source/labels → bypass validation → train/promote poisoned model</x:v>
      </x:c>
      <x:c r="C6" s="30" t="n">
        <x:v>3</x:v>
      </x:c>
      <x:c r="D6" s="24" t="str">
        <x:v>AML.T0020; OWASP ML02/ML08</x:v>
      </x:c>
      <x:c r="E6" s="24" t="str">
        <x:v>Lineage, digest, tests, separation, approval</x:v>
      </x:c>
      <x:c r="F6" s="24" t="str">
        <x:v>R-02; R-07; R-08</x:v>
      </x:c>
      <x:c r="G6" s="24"/>
      <x:c r="H6" s="24"/>
      <x:c r="I6" s="24"/>
      <x:c r="J6" s="24"/>
      <x:c r="K6" s="24"/>
      <x:c r="L6" s="24"/>
      <x:c r="M6" s="24"/>
      <x:c r="N6" s="24"/>
    </x:row>
    <x:row r="7" ht="42" hidden="0" customHeight="1">
      <x:c r="A7" s="24" t="str">
        <x:v>OS-03</x:v>
      </x:c>
      <x:c r="B7" s="24" t="str">
        <x:v>Compromise dependency/model → build executes → steal credentials/alter model</x:v>
      </x:c>
      <x:c r="C7" s="30" t="n">
        <x:v>3</x:v>
      </x:c>
      <x:c r="D7" s="24" t="str">
        <x:v>AML.T0010; OWASP ML06/ML10</x:v>
      </x:c>
      <x:c r="E7" s="24" t="str">
        <x:v>Allowlist, pin, SBOM, provenance, isolation</x:v>
      </x:c>
      <x:c r="F7" s="24" t="str">
        <x:v>R-03</x:v>
      </x:c>
      <x:c r="G7" s="24"/>
      <x:c r="H7" s="24"/>
      <x:c r="I7" s="24"/>
      <x:c r="J7" s="24"/>
      <x:c r="K7" s="24"/>
      <x:c r="L7" s="24"/>
      <x:c r="M7" s="24"/>
      <x:c r="N7" s="24"/>
    </x:row>
    <x:row r="8" ht="42" hidden="0" customHeight="1">
      <x:c r="A8" s="24" t="str">
        <x:v>OS-04</x:v>
      </x:c>
      <x:c r="B8" s="24" t="str">
        <x:v>Gain registry/admin access → replace artifact/manifest → deploy</x:v>
      </x:c>
      <x:c r="C8" s="30" t="n">
        <x:v>3</x:v>
      </x:c>
      <x:c r="D8" s="24" t="str">
        <x:v>AML.T0018; OWASP ML09/ML10</x:v>
      </x:c>
      <x:c r="E8" s="24" t="str">
        <x:v>Separation, signed artifact, audit, rollback</x:v>
      </x:c>
      <x:c r="F8" s="24" t="str">
        <x:v>R-04; R-09</x:v>
      </x:c>
      <x:c r="G8" s="24"/>
      <x:c r="H8" s="24"/>
      <x:c r="I8" s="24"/>
      <x:c r="J8" s="24"/>
      <x:c r="K8" s="24"/>
      <x:c r="L8" s="24"/>
      <x:c r="M8" s="24"/>
      <x:c r="N8" s="24"/>
    </x:row>
    <x:row r="9" ht="42" hidden="0" customHeight="1">
      <x:c r="A9" s="24" t="str">
        <x:v>OS-05</x:v>
      </x:c>
      <x:c r="B9" s="24" t="str">
        <x:v>Adaptive repeated queries → inversion/membership/model extraction</x:v>
      </x:c>
      <x:c r="C9" s="30" t="n">
        <x:v>3</x:v>
      </x:c>
      <x:c r="D9" s="24" t="str">
        <x:v>AML.T0040/T0024; OWASP ML03/04/05</x:v>
      </x:c>
      <x:c r="E9" s="24" t="str">
        <x:v>Output minimization, rate/abuse controls, privacy tests</x:v>
      </x:c>
      <x:c r="F9" s="24" t="str">
        <x:v>R-05</x:v>
      </x:c>
      <x:c r="G9" s="24"/>
      <x:c r="H9" s="24"/>
      <x:c r="I9" s="24"/>
      <x:c r="J9" s="24"/>
      <x:c r="K9" s="24"/>
      <x:c r="L9" s="24"/>
      <x:c r="M9" s="24"/>
      <x:c r="N9" s="24"/>
    </x:row>
    <x:row r="10" ht="42" hidden="0" customHeight="1">
      <x:c r="A10" s="24" t="str">
        <x:v>OS-06</x:v>
      </x:c>
      <x:c r="B10" s="24" t="str">
        <x:v>Flood expensive requests/dependency → exhaust inference</x:v>
      </x:c>
      <x:c r="C10" s="30" t="n">
        <x:v>3</x:v>
      </x:c>
      <x:c r="D10" s="24" t="str">
        <x:v>AML.T0029</x:v>
      </x:c>
      <x:c r="E10" s="24" t="str">
        <x:v>Limits, timeouts, capacity, fallback</x:v>
      </x:c>
      <x:c r="F10" s="24" t="str">
        <x:v>R-06</x:v>
      </x:c>
      <x:c r="G10" s="24"/>
      <x:c r="H10" s="24"/>
      <x:c r="I10" s="24"/>
      <x:c r="J10" s="24"/>
      <x:c r="K10" s="24"/>
      <x:c r="L10" s="24"/>
      <x:c r="M10" s="24"/>
      <x:c r="N10" s="24"/>
    </x:row>
    <x:row r="11" ht="42" hidden="0" customHeight="1">
      <x:c r="A11" s="24" t="str">
        <x:v>OS-07</x:v>
      </x:c>
      <x:c r="B11" s="24" t="str">
        <x:v>Population/process change → hidden segment failure → unsuitable offers</x:v>
      </x:c>
      <x:c r="C11" s="30" t="n">
        <x:v>3</x:v>
      </x:c>
      <x:c r="D11" s="24" t="str">
        <x:v>OWASP ML08</x:v>
      </x:c>
      <x:c r="E11" s="24" t="str">
        <x:v>Metrics, drift monitoring, stop/rollback/retrain</x:v>
      </x:c>
      <x:c r="F11" s="24" t="str">
        <x:v>R-07; R-08</x:v>
      </x:c>
      <x:c r="G11" s="24"/>
      <x:c r="H11" s="24"/>
      <x:c r="I11" s="24"/>
      <x:c r="J11" s="24"/>
      <x:c r="K11" s="24"/>
      <x:c r="L11" s="24"/>
      <x:c r="M11" s="24"/>
      <x:c r="N11" s="24"/>
    </x:row>
    <x:row r="12" ht="42" hidden="0" customHeight="1">
      <x:c r="A12" s="24" t="str">
        <x:v>OS-08</x:v>
      </x:c>
      <x:c r="B12" s="24" t="str">
        <x:v>Raw features/output in logs → broad access/retention → disclosure</x:v>
      </x:c>
      <x:c r="C12" s="30" t="n">
        <x:v>2</x:v>
      </x:c>
      <x:c r="D12" s="24" t="str">
        <x:v>Enterprise logging path</x:v>
      </x:c>
      <x:c r="E12" s="24" t="str">
        <x:v>Allowlist logs, redaction, access, retention</x:v>
      </x:c>
      <x:c r="F12" s="24" t="str">
        <x:v>R-10</x:v>
      </x:c>
      <x:c r="G12" s="24"/>
      <x:c r="H12" s="24"/>
      <x:c r="I12" s="24"/>
      <x:c r="J12" s="24"/>
      <x:c r="K12" s="24"/>
      <x:c r="L12" s="24"/>
      <x:c r="M12" s="24"/>
      <x:c r="N12" s="24"/>
    </x:row>
  </x:sheetData>
  <x:mergeCells>
    <x:mergeCell ref="A1:N1"/>
    <x:mergeCell ref="A2:N2"/>
  </x:mergeCells>
  <x:dataValidations count="1">
    <x:dataValidation type="list" sqref="C5:C12">
      <x:formula1>"1,2,3,4"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60" hidden="0" customWidth="1"/>
    <x:col min="4" max="4" width="6.110000133514404" hidden="0" customWidth="1"/>
    <x:col min="5" max="5" width="25" hidden="0" customWidth="1"/>
    <x:col min="6" max="6" width="38" hidden="0" customWidth="1"/>
    <x:col min="7" max="7" width="30" hidden="0" customWidth="1"/>
    <x:col min="8" max="8" width="30" hidden="0" customWidth="1"/>
  </x:cols>
  <x:sheetData>
    <x:row r="1" ht="19.200000762939453" hidden="0" customHeight="1">
      <x:c r="A1" s="22" t="str">
        <x:v>Workshop 5 — Treatment Plan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15" hidden="0" customHeight="1">
      <x:c r="A2" s="23" t="str">
        <x:v>Implementation status describes the lab/reference only; owners and production evidence require decisions.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 ht="15" hidden="0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 ht="15" hidden="0" customHeight="1">
      <x:c r="A4" s="27" t="str">
        <x:v>Measure ID</x:v>
      </x:c>
      <x:c r="B4" s="27" t="str">
        <x:v>Risk IDs</x:v>
      </x:c>
      <x:c r="C4" s="27" t="str">
        <x:v>Measure</x:v>
      </x:c>
      <x:c r="D4" s="27" t="str">
        <x:v>Priority</x:v>
      </x:c>
      <x:c r="E4" s="27" t="str">
        <x:v>Status</x:v>
      </x:c>
      <x:c r="F4" s="27" t="str">
        <x:v>Accountable role</x:v>
      </x:c>
      <x:c r="G4" s="27" t="str">
        <x:v>Target gate</x:v>
      </x:c>
      <x:c r="H4" s="27" t="str">
        <x:v>Control refs</x:v>
      </x:c>
      <x:c r="I4" s="24"/>
      <x:c r="J4" s="24"/>
      <x:c r="K4" s="24"/>
      <x:c r="L4" s="24"/>
      <x:c r="M4" s="24"/>
      <x:c r="N4" s="24"/>
    </x:row>
    <x:row r="5" ht="44" hidden="0" customHeight="1">
      <x:c r="A5" s="24" t="str">
        <x:v>M-01</x:v>
      </x:c>
      <x:c r="B5" s="24" t="str">
        <x:v>R-01; R-09</x:v>
      </x:c>
      <x:c r="C5" s="24" t="str">
        <x:v>Enterprise identity with phishing-resistant MFA for privileged access and centralized authorization</x:v>
      </x:c>
      <x:c r="D5" s="24" t="str">
        <x:v>P0</x:v>
      </x:c>
      <x:c r="E5" s="24" t="str">
        <x:v>Production not assessed</x:v>
      </x:c>
      <x:c r="F5" s="24" t="str">
        <x:v>[DECISION REQUIRED] IAM Owner</x:v>
      </x:c>
      <x:c r="G5" s="24" t="str">
        <x:v>Before pilot</x:v>
      </x:c>
      <x:c r="H5" s="24" t="str">
        <x:v>IA-2; AC-2; AC-3</x:v>
      </x:c>
      <x:c r="I5" s="24"/>
      <x:c r="J5" s="24"/>
      <x:c r="K5" s="24"/>
      <x:c r="L5" s="24"/>
      <x:c r="M5" s="24"/>
      <x:c r="N5" s="24"/>
    </x:row>
    <x:row r="6" ht="44" hidden="0" customHeight="1">
      <x:c r="A6" s="24" t="str">
        <x:v>M-02</x:v>
      </x:c>
      <x:c r="B6" s="24" t="str">
        <x:v>R-01; R-09</x:v>
      </x:c>
      <x:c r="C6" s="24" t="str">
        <x:v>Least privilege separation of data prepare train approve deploy and audit roles</x:v>
      </x:c>
      <x:c r="D6" s="24" t="str">
        <x:v>P0</x:v>
      </x:c>
      <x:c r="E6" s="24" t="str">
        <x:v>Prototype partial</x:v>
      </x:c>
      <x:c r="F6" s="24" t="str">
        <x:v>[DECISION REQUIRED] System Owner</x:v>
      </x:c>
      <x:c r="G6" s="24" t="str">
        <x:v>Before pilot</x:v>
      </x:c>
      <x:c r="H6" s="24" t="str">
        <x:v>AC-5; AC-6; CM-5</x:v>
      </x:c>
      <x:c r="I6" s="24"/>
      <x:c r="J6" s="24"/>
      <x:c r="K6" s="24"/>
      <x:c r="L6" s="24"/>
      <x:c r="M6" s="24"/>
      <x:c r="N6" s="24"/>
    </x:row>
    <x:row r="7" ht="44" hidden="0" customHeight="1">
      <x:c r="A7" s="24" t="str">
        <x:v>M-03</x:v>
      </x:c>
      <x:c r="B7" s="24" t="str">
        <x:v>R-01; R-10</x:v>
      </x:c>
      <x:c r="C7" s="24" t="str">
        <x:v>Data minimization encryption retention and log allowlisting</x:v>
      </x:c>
      <x:c r="D7" s="24" t="str">
        <x:v>P0</x:v>
      </x:c>
      <x:c r="E7" s="24" t="str">
        <x:v>Prototype partial</x:v>
      </x:c>
      <x:c r="F7" s="24" t="str">
        <x:v>[DECISION REQUIRED] Data/Privacy Owner</x:v>
      </x:c>
      <x:c r="G7" s="24" t="str">
        <x:v>Before pilot</x:v>
      </x:c>
      <x:c r="H7" s="24" t="str">
        <x:v>SC-8; SC-28; PT-2; SI-12</x:v>
      </x:c>
      <x:c r="I7" s="24"/>
      <x:c r="J7" s="24"/>
      <x:c r="K7" s="24"/>
      <x:c r="L7" s="24"/>
      <x:c r="M7" s="24"/>
      <x:c r="N7" s="24"/>
    </x:row>
    <x:row r="8" ht="44" hidden="0" customHeight="1">
      <x:c r="A8" s="24" t="str">
        <x:v>M-04</x:v>
      </x:c>
      <x:c r="B8" s="24" t="str">
        <x:v>R-02; R-07; R-08</x:v>
      </x:c>
      <x:c r="C8" s="24" t="str">
        <x:v>Versioned data lineage schema/quality/label/distribution and group checks</x:v>
      </x:c>
      <x:c r="D8" s="24" t="str">
        <x:v>P0</x:v>
      </x:c>
      <x:c r="E8" s="24" t="str">
        <x:v>Prototype partial</x:v>
      </x:c>
      <x:c r="F8" s="24" t="str">
        <x:v>[DECISION REQUIRED] Data/Model Owner</x:v>
      </x:c>
      <x:c r="G8" s="24" t="str">
        <x:v>Before pilot</x:v>
      </x:c>
      <x:c r="H8" s="24" t="str">
        <x:v>SA-10; SI-10; RA-3</x:v>
      </x:c>
      <x:c r="I8" s="24"/>
      <x:c r="J8" s="24"/>
      <x:c r="K8" s="24"/>
      <x:c r="L8" s="24"/>
      <x:c r="M8" s="24"/>
      <x:c r="N8" s="24"/>
    </x:row>
    <x:row r="9" ht="44" hidden="0" customHeight="1">
      <x:c r="A9" s="24" t="str">
        <x:v>M-05</x:v>
      </x:c>
      <x:c r="B9" s="24" t="str">
        <x:v>R-03</x:v>
      </x:c>
      <x:c r="C9" s="24" t="str">
        <x:v>Trusted registries pinning SBOM vulnerability/license gates and provenance verification</x:v>
      </x:c>
      <x:c r="D9" s="24" t="str">
        <x:v>P0</x:v>
      </x:c>
      <x:c r="E9" s="24" t="str">
        <x:v>Prototype partial</x:v>
      </x:c>
      <x:c r="F9" s="24" t="str">
        <x:v>[DECISION REQUIRED] Supply-Chain Owner</x:v>
      </x:c>
      <x:c r="G9" s="24" t="str">
        <x:v>Before pilot</x:v>
      </x:c>
      <x:c r="H9" s="24" t="str">
        <x:v>SA-12; SR-3; SR-4; SR-11; SI-2</x:v>
      </x:c>
      <x:c r="I9" s="24"/>
      <x:c r="J9" s="24"/>
      <x:c r="K9" s="24"/>
      <x:c r="L9" s="24"/>
      <x:c r="M9" s="24"/>
      <x:c r="N9" s="24"/>
    </x:row>
    <x:row r="10" ht="44" hidden="0" customHeight="1">
      <x:c r="A10" s="24" t="str">
        <x:v>M-06</x:v>
      </x:c>
      <x:c r="B10" s="24" t="str">
        <x:v>R-03; R-04; R-09</x:v>
      </x:c>
      <x:c r="C10" s="24" t="str">
        <x:v>Protected repositories isolated builds short-lived credentials and two-person promotion</x:v>
      </x:c>
      <x:c r="D10" s="24" t="str">
        <x:v>P0</x:v>
      </x:c>
      <x:c r="E10" s="24" t="str">
        <x:v>Repository partial</x:v>
      </x:c>
      <x:c r="F10" s="24" t="str">
        <x:v>[DECISION REQUIRED] Engineering Owner</x:v>
      </x:c>
      <x:c r="G10" s="24" t="str">
        <x:v>Before pilot</x:v>
      </x:c>
      <x:c r="H10" s="24" t="str">
        <x:v>AC-5; CM-3; CM-5; SA-10</x:v>
      </x:c>
      <x:c r="I10" s="24"/>
      <x:c r="J10" s="24"/>
      <x:c r="K10" s="24"/>
      <x:c r="L10" s="24"/>
      <x:c r="M10" s="24"/>
      <x:c r="N10" s="24"/>
    </x:row>
    <x:row r="11" ht="44" hidden="0" customHeight="1">
      <x:c r="A11" s="24" t="str">
        <x:v>M-07</x:v>
      </x:c>
      <x:c r="B11" s="24" t="str">
        <x:v>R-04</x:v>
      </x:c>
      <x:c r="C11" s="24" t="str">
        <x:v>Immutable registry signed artifact trusted verification root deployment allowlist and rollback</x:v>
      </x:c>
      <x:c r="D11" s="24" t="str">
        <x:v>P0</x:v>
      </x:c>
      <x:c r="E11" s="24" t="str">
        <x:v>Prototype hash only</x:v>
      </x:c>
      <x:c r="F11" s="24" t="str">
        <x:v>[DECISION REQUIRED] Model Platform Owner</x:v>
      </x:c>
      <x:c r="G11" s="24" t="str">
        <x:v>Before pilot</x:v>
      </x:c>
      <x:c r="H11" s="24" t="str">
        <x:v>SI-7; CM-3</x:v>
      </x:c>
      <x:c r="I11" s="24"/>
      <x:c r="J11" s="24"/>
      <x:c r="K11" s="24"/>
      <x:c r="L11" s="24"/>
      <x:c r="M11" s="24"/>
      <x:c r="N11" s="24"/>
    </x:row>
    <x:row r="12" ht="44" hidden="0" customHeight="1">
      <x:c r="A12" s="24" t="str">
        <x:v>M-08</x:v>
      </x:c>
      <x:c r="B12" s="24" t="str">
        <x:v>R-05; R-06</x:v>
      </x:c>
      <x:c r="C12" s="24" t="str">
        <x:v>Purpose authorization input/output limits rate limits quotas anomaly detection and graceful fallback</x:v>
      </x:c>
      <x:c r="D12" s="24" t="str">
        <x:v>P1</x:v>
      </x:c>
      <x:c r="E12" s="24" t="str">
        <x:v>Prototype partial</x:v>
      </x:c>
      <x:c r="F12" s="24" t="str">
        <x:v>[DECISION REQUIRED] API/Service Owner</x:v>
      </x:c>
      <x:c r="G12" s="24" t="str">
        <x:v>Before scale</x:v>
      </x:c>
      <x:c r="H12" s="24" t="str">
        <x:v>AC-3; SC-5; SC-7; SI-4; SI-10</x:v>
      </x:c>
      <x:c r="I12" s="24"/>
      <x:c r="J12" s="24"/>
      <x:c r="K12" s="24"/>
      <x:c r="L12" s="24"/>
      <x:c r="M12" s="24"/>
      <x:c r="N12" s="24"/>
    </x:row>
    <x:row r="13" ht="44" hidden="0" customHeight="1">
      <x:c r="A13" s="24" t="str">
        <x:v>M-09</x:v>
      </x:c>
      <x:c r="B13" s="24" t="str">
        <x:v>R-07; R-08</x:v>
      </x:c>
      <x:c r="C13" s="24" t="str">
        <x:v>Approved model metrics fairness/segment analysis drift thresholds and stop/rollback/retrain actions</x:v>
      </x:c>
      <x:c r="D13" s="24" t="str">
        <x:v>P0</x:v>
      </x:c>
      <x:c r="E13" s="24" t="str">
        <x:v>Prototype procedure</x:v>
      </x:c>
      <x:c r="F13" s="24" t="str">
        <x:v>[DECISION REQUIRED] Model-Risk Owner</x:v>
      </x:c>
      <x:c r="G13" s="24" t="str">
        <x:v>Before pilot</x:v>
      </x:c>
      <x:c r="H13" s="24" t="str">
        <x:v>CA-2; CA-7; PM-9; SA-8; SI-4</x:v>
      </x:c>
      <x:c r="I13" s="24"/>
      <x:c r="J13" s="24"/>
      <x:c r="K13" s="24"/>
      <x:c r="L13" s="24"/>
      <x:c r="M13" s="24"/>
      <x:c r="N13" s="24"/>
    </x:row>
    <x:row r="14" ht="44" hidden="0" customHeight="1">
      <x:c r="A14" s="24" t="str">
        <x:v>M-10</x:v>
      </x:c>
      <x:c r="B14" s="24" t="str">
        <x:v>R-06</x:v>
      </x:c>
      <x:c r="C14" s="24" t="str">
        <x:v>Capacity resilience backup/recovery and manual fallback with approved RTO/RPO</x:v>
      </x:c>
      <x:c r="D14" s="24" t="str">
        <x:v>P1</x:v>
      </x:c>
      <x:c r="E14" s="24" t="str">
        <x:v>Production not assessed</x:v>
      </x:c>
      <x:c r="F14" s="24" t="str">
        <x:v>[DECISION REQUIRED] Service/Business Owner</x:v>
      </x:c>
      <x:c r="G14" s="24" t="str">
        <x:v>Before scale</x:v>
      </x:c>
      <x:c r="H14" s="24" t="str">
        <x:v>CP-2; CP-10; SI-13</x:v>
      </x:c>
      <x:c r="I14" s="24"/>
      <x:c r="J14" s="24"/>
      <x:c r="K14" s="24"/>
      <x:c r="L14" s="24"/>
      <x:c r="M14" s="24"/>
      <x:c r="N14" s="24"/>
    </x:row>
    <x:row r="15" ht="44" hidden="0" customHeight="1">
      <x:c r="A15" s="24" t="str">
        <x:v>M-11</x:v>
      </x:c>
      <x:c r="B15" s="24" t="str">
        <x:v>R-01; R-04; R-09; R-10</x:v>
      </x:c>
      <x:c r="C15" s="24" t="str">
        <x:v>Tamper-protected minimized audit trail with review alerts and retention</x:v>
      </x:c>
      <x:c r="D15" s="24" t="str">
        <x:v>P0</x:v>
      </x:c>
      <x:c r="E15" s="24" t="str">
        <x:v>Prototype partial</x:v>
      </x:c>
      <x:c r="F15" s="24" t="str">
        <x:v>[DECISION REQUIRED] Security/Logging Owner</x:v>
      </x:c>
      <x:c r="G15" s="24" t="str">
        <x:v>Before pilot</x:v>
      </x:c>
      <x:c r="H15" s="24" t="str">
        <x:v>AU-2; AU-3; AU-6; AU-9; AU-11</x:v>
      </x:c>
      <x:c r="I15" s="24"/>
      <x:c r="J15" s="24"/>
      <x:c r="K15" s="24"/>
      <x:c r="L15" s="24"/>
      <x:c r="M15" s="24"/>
      <x:c r="N15" s="24"/>
    </x:row>
    <x:row r="16" ht="44" hidden="0" customHeight="1">
      <x:c r="A16" s="24" t="str">
        <x:v>M-12</x:v>
      </x:c>
      <x:c r="B16" s="24" t="str">
        <x:v>R-01; R-02; R-03; R-04; R-05; R-06; R-07; R-08; R-09; R-10</x:v>
      </x:c>
      <x:c r="C16" s="24" t="str">
        <x:v>Incident response model rollback notification contest/redress and lessons learned</x:v>
      </x:c>
      <x:c r="D16" s="24" t="str">
        <x:v>P1</x:v>
      </x:c>
      <x:c r="E16" s="24" t="str">
        <x:v>Production not assessed</x:v>
      </x:c>
      <x:c r="F16" s="24" t="str">
        <x:v>[DECISION REQUIRED] Incident/Business Owner</x:v>
      </x:c>
      <x:c r="G16" s="24" t="str">
        <x:v>Before scale</x:v>
      </x:c>
      <x:c r="H16" s="24" t="str">
        <x:v>IR-4; IR-6; IR-8</x:v>
      </x:c>
      <x:c r="I16" s="24"/>
      <x:c r="J16" s="24"/>
      <x:c r="K16" s="24"/>
      <x:c r="L16" s="24"/>
      <x:c r="M16" s="24"/>
      <x:c r="N16" s="24"/>
    </x:row>
  </x:sheetData>
  <x:mergeCells>
    <x:mergeCell ref="A1:N1"/>
    <x:mergeCell ref="A2:N2"/>
  </x:mergeCells>
  <x:dataValidations count="1">
    <x:dataValidation type="list" sqref="D5:D16">
      <x:formula1>"P0,P1,P2"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8" hidden="0" customWidth="1"/>
    <x:col min="3" max="3" width="28" hidden="0" customWidth="1"/>
    <x:col min="4" max="4" width="6.78000020980835" hidden="0" customWidth="1"/>
    <x:col min="5" max="5" width="8.5600004196167" hidden="0" customWidth="1"/>
    <x:col min="6" max="6" width="11.890000343322754" hidden="0" customWidth="1"/>
    <x:col min="7" max="7" width="8.329999923706055" hidden="0" customWidth="1"/>
    <x:col min="8" max="8" width="13.779999732971191" hidden="0" customWidth="1"/>
    <x:col min="9" max="9" width="15.220000267028809" hidden="0" customWidth="1"/>
    <x:col min="10" max="10" width="12" hidden="0" customWidth="1"/>
    <x:col min="11" max="11" width="12.220000267028809" hidden="0" customWidth="1"/>
    <x:col min="12" max="12" width="38" hidden="0" customWidth="1"/>
    <x:col min="13" max="13" width="5.440000057220459" hidden="0" customWidth="1"/>
    <x:col min="14" max="14" width="62" hidden="0" customWidth="1"/>
  </x:cols>
  <x:sheetData>
    <x:row r="1" ht="19.200000762939453" hidden="0" customHeight="1">
      <x:c r="A1" s="22" t="str">
        <x:v>Provisional Risk Register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15" hidden="0" customHeight="1">
      <x:c r="A2" s="23" t="str">
        <x:v>Blue cells are formulas. Yellow cells are workshop inputs. Residual ratings are projected until measures are assessed and accepted.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 ht="15" hidden="0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 ht="15" hidden="0" customHeight="1">
      <x:c r="A4" s="27" t="str">
        <x:v>Risk ID</x:v>
      </x:c>
      <x:c r="B4" s="27" t="str">
        <x:v>Title</x:v>
      </x:c>
      <x:c r="C4" s="27" t="str">
        <x:v>Feared event</x:v>
      </x:c>
      <x:c r="D4" s="27" t="str">
        <x:v>Severity</x:v>
      </x:c>
      <x:c r="E4" s="27" t="str">
        <x:v>Likelihood</x:v>
      </x:c>
      <x:c r="F4" s="27" t="str">
        <x:v>Inherent rating</x:v>
      </x:c>
      <x:c r="G4" s="27" t="str">
        <x:v>Treatment</x:v>
      </x:c>
      <x:c r="H4" s="27" t="str">
        <x:v>Residual severity</x:v>
      </x:c>
      <x:c r="I4" s="27" t="str">
        <x:v>Residual likelihood</x:v>
      </x:c>
      <x:c r="J4" s="27" t="str">
        <x:v>Residual score</x:v>
      </x:c>
      <x:c r="K4" s="27" t="str">
        <x:v>Residual rating</x:v>
      </x:c>
      <x:c r="L4" s="27" t="str">
        <x:v>Owner</x:v>
      </x:c>
      <x:c r="M4" s="27" t="str">
        <x:v>Status</x:v>
      </x:c>
      <x:c r="N4" s="27" t="str">
        <x:v>Rationale</x:v>
      </x:c>
    </x:row>
    <x:row r="5" ht="44" hidden="0" customHeight="1">
      <x:c r="A5" s="24" t="str">
        <x:v>R-01</x:v>
      </x:c>
      <x:c r="B5" s="24" t="str">
        <x:v>Customer data disclosure through compromised identity or service</x:v>
      </x:c>
      <x:c r="C5" s="24" t="str">
        <x:v>FE-01</x:v>
      </x:c>
      <x:c r="D5" s="30" t="n">
        <x:v>4</x:v>
      </x:c>
      <x:c r="E5" s="30" t="n">
        <x:v>3</x:v>
      </x:c>
      <x:c r="F5" s="33" t="str">
        <x:f>IF(D5*E5&gt;=12,"Critical",IF(D5*E5&gt;=8,"High",IF(D5*E5&gt;=4,"Medium","Low")))</x:f>
        <x:v>Critical</x:v>
      </x:c>
      <x:c r="G5" s="24" t="str">
        <x:v>Reduce</x:v>
      </x:c>
      <x:c r="H5" s="30" t="n">
        <x:v>4</x:v>
      </x:c>
      <x:c r="I5" s="30" t="n">
        <x:v>2</x:v>
      </x:c>
      <x:c r="J5" s="34" t="n">
        <x:f>H5*I5</x:f>
        <x:v>8</x:v>
      </x:c>
      <x:c r="K5" s="34" t="str">
        <x:f>IF(J5&gt;=12,"Critical",IF(J5&gt;=8,"High",IF(J5&gt;=4,"Medium","Low")))</x:f>
        <x:v>High</x:v>
      </x:c>
      <x:c r="L5" s="24" t="str">
        <x:v>[DECISION REQUIRED] System/Data Owner</x:v>
      </x:c>
      <x:c r="M5" s="24" t="str">
        <x:v>Open</x:v>
      </x:c>
      <x:c r="N5" s="24" t="str">
        <x:v>[ASSUMPTION] Severe privacy/trust impact; identity attacks are credible while real IAM and data exposure are unknown.</x:v>
      </x:c>
    </x:row>
    <x:row r="6" ht="44" hidden="0" customHeight="1">
      <x:c r="A6" s="24" t="str">
        <x:v>R-02</x:v>
      </x:c>
      <x:c r="B6" s="24" t="str">
        <x:v>Training data poisoning or corruption</x:v>
      </x:c>
      <x:c r="C6" s="24" t="str">
        <x:v>FE-02; FE-03; FE-06</x:v>
      </x:c>
      <x:c r="D6" s="30" t="n">
        <x:v>4</x:v>
      </x:c>
      <x:c r="E6" s="30" t="n">
        <x:v>3</x:v>
      </x:c>
      <x:c r="F6" s="33" t="str">
        <x:f>IF(D6*E6&gt;=12,"Critical",IF(D6*E6&gt;=8,"High",IF(D6*E6&gt;=4,"Medium","Low")))</x:f>
        <x:v>Critical</x:v>
      </x:c>
      <x:c r="G6" s="24" t="str">
        <x:v>Reduce</x:v>
      </x:c>
      <x:c r="H6" s="30" t="n">
        <x:v>4</x:v>
      </x:c>
      <x:c r="I6" s="30" t="n">
        <x:v>1</x:v>
      </x:c>
      <x:c r="J6" s="34" t="n">
        <x:f>H6*I6</x:f>
        <x:v>4</x:v>
      </x:c>
      <x:c r="K6" s="34" t="str">
        <x:f>IF(J6&gt;=12,"Critical",IF(J6&gt;=8,"High",IF(J6&gt;=4,"Medium","Low")))</x:f>
        <x:v>Medium</x:v>
      </x:c>
      <x:c r="L6" s="24" t="str">
        <x:v>[DECISION REQUIRED] Data/Model Owner</x:v>
      </x:c>
      <x:c r="M6" s="24" t="str">
        <x:v>Open</x:v>
      </x:c>
      <x:c r="N6" s="24" t="str">
        <x:v>[ASSUMPTION] Corruption may scale into systematic recommendations; real lineage validation and approvals are unknown.</x:v>
      </x:c>
    </x:row>
    <x:row r="7" ht="44" hidden="0" customHeight="1">
      <x:c r="A7" s="24" t="str">
        <x:v>R-03</x:v>
      </x:c>
      <x:c r="B7" s="24" t="str">
        <x:v>Open-source AI/software supply-chain compromise</x:v>
      </x:c>
      <x:c r="C7" s="24" t="str">
        <x:v>FE-01; FE-02; FE-03; FE-04</x:v>
      </x:c>
      <x:c r="D7" s="30" t="n">
        <x:v>4</x:v>
      </x:c>
      <x:c r="E7" s="30" t="n">
        <x:v>3</x:v>
      </x:c>
      <x:c r="F7" s="33" t="str">
        <x:f>IF(D7*E7&gt;=12,"Critical",IF(D7*E7&gt;=8,"High",IF(D7*E7&gt;=4,"Medium","Low")))</x:f>
        <x:v>Critical</x:v>
      </x:c>
      <x:c r="G7" s="24" t="str">
        <x:v>Reduce</x:v>
      </x:c>
      <x:c r="H7" s="30" t="n">
        <x:v>4</x:v>
      </x:c>
      <x:c r="I7" s="30" t="n">
        <x:v>1</x:v>
      </x:c>
      <x:c r="J7" s="34" t="n">
        <x:f>H7*I7</x:f>
        <x:v>4</x:v>
      </x:c>
      <x:c r="K7" s="34" t="str">
        <x:f>IF(J7&gt;=12,"Critical",IF(J7&gt;=8,"High",IF(J7&gt;=4,"Medium","Low")))</x:f>
        <x:v>Medium</x:v>
      </x:c>
      <x:c r="L7" s="24" t="str">
        <x:v>[DECISION REQUIRED] Engineering/Supply-Chain Owner</x:v>
      </x:c>
      <x:c r="M7" s="24" t="str">
        <x:v>Open</x:v>
      </x:c>
      <x:c r="N7" s="24" t="str">
        <x:v>[ASSUMPTION] Open-source reliance is known but exact sources provenance build isolation and credentials are unknown.</x:v>
      </x:c>
    </x:row>
    <x:row r="8" ht="44" hidden="0" customHeight="1">
      <x:c r="A8" s="24" t="str">
        <x:v>R-04</x:v>
      </x:c>
      <x:c r="B8" s="24" t="str">
        <x:v>Unauthorized model modification or deployment</x:v>
      </x:c>
      <x:c r="C8" s="24" t="str">
        <x:v>FE-03; FE-07</x:v>
      </x:c>
      <x:c r="D8" s="30" t="n">
        <x:v>4</x:v>
      </x:c>
      <x:c r="E8" s="30" t="n">
        <x:v>3</x:v>
      </x:c>
      <x:c r="F8" s="33" t="str">
        <x:f>IF(D8*E8&gt;=12,"Critical",IF(D8*E8&gt;=8,"High",IF(D8*E8&gt;=4,"Medium","Low")))</x:f>
        <x:v>Critical</x:v>
      </x:c>
      <x:c r="G8" s="24" t="str">
        <x:v>Reduce</x:v>
      </x:c>
      <x:c r="H8" s="30" t="n">
        <x:v>4</x:v>
      </x:c>
      <x:c r="I8" s="30" t="n">
        <x:v>1</x:v>
      </x:c>
      <x:c r="J8" s="34" t="n">
        <x:f>H8*I8</x:f>
        <x:v>4</x:v>
      </x:c>
      <x:c r="K8" s="34" t="str">
        <x:f>IF(J8&gt;=12,"Critical",IF(J8&gt;=8,"High",IF(J8&gt;=4,"Medium","Low")))</x:f>
        <x:v>Medium</x:v>
      </x:c>
      <x:c r="L8" s="24" t="str">
        <x:v>[DECISION REQUIRED] Model/System Owner</x:v>
      </x:c>
      <x:c r="M8" s="24" t="str">
        <x:v>Open</x:v>
      </x:c>
      <x:c r="N8" s="24" t="str">
        <x:v>[ASSUMPTION] A privileged change can affect recommendations at scale; promotion controls are unknown.</x:v>
      </x:c>
    </x:row>
    <x:row r="9" ht="44" hidden="0" customHeight="1">
      <x:c r="A9" s="24" t="str">
        <x:v>R-05</x:v>
      </x:c>
      <x:c r="B9" s="24" t="str">
        <x:v>Model extraction or inference privacy attack</x:v>
      </x:c>
      <x:c r="C9" s="24" t="str">
        <x:v>FE-01; FE-05</x:v>
      </x:c>
      <x:c r="D9" s="30" t="n">
        <x:v>3</x:v>
      </x:c>
      <x:c r="E9" s="30" t="n">
        <x:v>3</x:v>
      </x:c>
      <x:c r="F9" s="33" t="str">
        <x:f>IF(D9*E9&gt;=12,"Critical",IF(D9*E9&gt;=8,"High",IF(D9*E9&gt;=4,"Medium","Low")))</x:f>
        <x:v>High</x:v>
      </x:c>
      <x:c r="G9" s="24" t="str">
        <x:v>Reduce</x:v>
      </x:c>
      <x:c r="H9" s="30" t="n">
        <x:v>3</x:v>
      </x:c>
      <x:c r="I9" s="30" t="n">
        <x:v>2</x:v>
      </x:c>
      <x:c r="J9" s="34" t="n">
        <x:f>H9*I9</x:f>
        <x:v>6</x:v>
      </x:c>
      <x:c r="K9" s="34" t="str">
        <x:f>IF(J9&gt;=12,"Critical",IF(J9&gt;=8,"High",IF(J9&gt;=4,"Medium","Low")))</x:f>
        <x:v>Medium</x:v>
      </x:c>
      <x:c r="L9" s="24" t="str">
        <x:v>[DECISION REQUIRED] Model/Data Owner</x:v>
      </x:c>
      <x:c r="M9" s="24" t="str">
        <x:v>Open</x:v>
      </x:c>
      <x:c r="N9" s="24" t="str">
        <x:v>[ASSUMPTION] Feasibility depends on interface access output precision rate limits and training-data sensitivity.</x:v>
      </x:c>
    </x:row>
    <x:row r="10" ht="44" hidden="0" customHeight="1">
      <x:c r="A10" s="24" t="str">
        <x:v>R-06</x:v>
      </x:c>
      <x:c r="B10" s="24" t="str">
        <x:v>Recommendation service denial or dependency outage</x:v>
      </x:c>
      <x:c r="C10" s="24" t="str">
        <x:v>FE-04</x:v>
      </x:c>
      <x:c r="D10" s="30" t="n">
        <x:v>3</x:v>
      </x:c>
      <x:c r="E10" s="30" t="n">
        <x:v>3</x:v>
      </x:c>
      <x:c r="F10" s="33" t="str">
        <x:f>IF(D10*E10&gt;=12,"Critical",IF(D10*E10&gt;=8,"High",IF(D10*E10&gt;=4,"Medium","Low")))</x:f>
        <x:v>High</x:v>
      </x:c>
      <x:c r="G10" s="24" t="str">
        <x:v>Reduce</x:v>
      </x:c>
      <x:c r="H10" s="30" t="n">
        <x:v>3</x:v>
      </x:c>
      <x:c r="I10" s="30" t="n">
        <x:v>1</x:v>
      </x:c>
      <x:c r="J10" s="34" t="n">
        <x:f>H10*I10</x:f>
        <x:v>3</x:v>
      </x:c>
      <x:c r="K10" s="34" t="str">
        <x:f>IF(J10&gt;=12,"Critical",IF(J10&gt;=8,"High",IF(J10&gt;=4,"Medium","Low")))</x:f>
        <x:v>Low</x:v>
      </x:c>
      <x:c r="L10" s="24" t="str">
        <x:v>[DECISION REQUIRED] Service Owner</x:v>
      </x:c>
      <x:c r="M10" s="24" t="str">
        <x:v>Open</x:v>
      </x:c>
      <x:c r="N10" s="24" t="str">
        <x:v>[ASSUMPTION] Business impact and fallback/RTO are unknown; exposed APIs and AI compute can be resource constrained.</x:v>
      </x:c>
    </x:row>
    <x:row r="11" ht="44" hidden="0" customHeight="1">
      <x:c r="A11" s="24" t="str">
        <x:v>R-07</x:v>
      </x:c>
      <x:c r="B11" s="24" t="str">
        <x:v>Unfair or invalid group performance</x:v>
      </x:c>
      <x:c r="C11" s="24" t="str">
        <x:v>FE-06</x:v>
      </x:c>
      <x:c r="D11" s="30" t="n">
        <x:v>4</x:v>
      </x:c>
      <x:c r="E11" s="30" t="n">
        <x:v>2</x:v>
      </x:c>
      <x:c r="F11" s="33" t="str">
        <x:f>IF(D11*E11&gt;=12,"Critical",IF(D11*E11&gt;=8,"High",IF(D11*E11&gt;=4,"Medium","Low")))</x:f>
        <x:v>High</x:v>
      </x:c>
      <x:c r="G11" s="24" t="str">
        <x:v>Reduce</x:v>
      </x:c>
      <x:c r="H11" s="30" t="n">
        <x:v>4</x:v>
      </x:c>
      <x:c r="I11" s="30" t="n">
        <x:v>1</x:v>
      </x:c>
      <x:c r="J11" s="34" t="n">
        <x:f>H11*I11</x:f>
        <x:v>4</x:v>
      </x:c>
      <x:c r="K11" s="34" t="str">
        <x:f>IF(J11&gt;=12,"Critical",IF(J11&gt;=8,"High",IF(J11&gt;=4,"Medium","Low")))</x:f>
        <x:v>Medium</x:v>
      </x:c>
      <x:c r="L11" s="24" t="str">
        <x:v>[DECISION REQUIRED] Business/Model-Risk Owner</x:v>
      </x:c>
      <x:c r="M11" s="24" t="str">
        <x:v>Open</x:v>
      </x:c>
      <x:c r="N11" s="24" t="str">
        <x:v>[ASSUMPTION] Customer impact is potentially severe; actual groups uses thresholds and legal context are unknown.</x:v>
      </x:c>
    </x:row>
    <x:row r="12" ht="44" hidden="0" customHeight="1">
      <x:c r="A12" s="24" t="str">
        <x:v>R-08</x:v>
      </x:c>
      <x:c r="B12" s="24" t="str">
        <x:v>Undetected model/data drift degrades recommendations</x:v>
      </x:c>
      <x:c r="C12" s="24" t="str">
        <x:v>FE-06</x:v>
      </x:c>
      <x:c r="D12" s="30" t="n">
        <x:v>3</x:v>
      </x:c>
      <x:c r="E12" s="30" t="n">
        <x:v>3</x:v>
      </x:c>
      <x:c r="F12" s="33" t="str">
        <x:f>IF(D12*E12&gt;=12,"Critical",IF(D12*E12&gt;=8,"High",IF(D12*E12&gt;=4,"Medium","Low")))</x:f>
        <x:v>High</x:v>
      </x:c>
      <x:c r="G12" s="24" t="str">
        <x:v>Reduce</x:v>
      </x:c>
      <x:c r="H12" s="30" t="n">
        <x:v>3</x:v>
      </x:c>
      <x:c r="I12" s="30" t="n">
        <x:v>1</x:v>
      </x:c>
      <x:c r="J12" s="34" t="n">
        <x:f>H12*I12</x:f>
        <x:v>3</x:v>
      </x:c>
      <x:c r="K12" s="34" t="str">
        <x:f>IF(J12&gt;=12,"Critical",IF(J12&gt;=8,"High",IF(J12&gt;=4,"Medium","Low")))</x:f>
        <x:v>Low</x:v>
      </x:c>
      <x:c r="L12" s="24" t="str">
        <x:v>[DECISION REQUIRED] Model Owner</x:v>
      </x:c>
      <x:c r="M12" s="24" t="str">
        <x:v>Open</x:v>
      </x:c>
      <x:c r="N12" s="24" t="str">
        <x:v>[ASSUMPTION] Periodic use implies drift can occur; monitoring and retraining triggers are unknown.</x:v>
      </x:c>
    </x:row>
    <x:row r="13" ht="44" hidden="0" customHeight="1">
      <x:c r="A13" s="24" t="str">
        <x:v>R-09</x:v>
      </x:c>
      <x:c r="B13" s="24" t="str">
        <x:v>Privileged insider misuse across data model or administration</x:v>
      </x:c>
      <x:c r="C13" s="24" t="str">
        <x:v>FE-01; FE-02; FE-03; FE-05; FE-07</x:v>
      </x:c>
      <x:c r="D13" s="30" t="n">
        <x:v>4</x:v>
      </x:c>
      <x:c r="E13" s="30" t="n">
        <x:v>3</x:v>
      </x:c>
      <x:c r="F13" s="33" t="str">
        <x:f>IF(D13*E13&gt;=12,"Critical",IF(D13*E13&gt;=8,"High",IF(D13*E13&gt;=4,"Medium","Low")))</x:f>
        <x:v>Critical</x:v>
      </x:c>
      <x:c r="G13" s="24" t="str">
        <x:v>Reduce</x:v>
      </x:c>
      <x:c r="H13" s="30" t="n">
        <x:v>4</x:v>
      </x:c>
      <x:c r="I13" s="30" t="n">
        <x:v>2</x:v>
      </x:c>
      <x:c r="J13" s="34" t="n">
        <x:f>H13*I13</x:f>
        <x:v>8</x:v>
      </x:c>
      <x:c r="K13" s="34" t="str">
        <x:f>IF(J13&gt;=12,"Critical",IF(J13&gt;=8,"High",IF(J13&gt;=4,"Medium","Low")))</x:f>
        <x:v>High</x:v>
      </x:c>
      <x:c r="L13" s="24" t="str">
        <x:v>[DECISION REQUIRED] Security/System Owner</x:v>
      </x:c>
      <x:c r="M13" s="24" t="str">
        <x:v>Open</x:v>
      </x:c>
      <x:c r="N13" s="24" t="str">
        <x:v>[ASSUMPTION] Privileged access is necessary somewhere in the lifecycle; actual separation monitoring and reviews are unknown.</x:v>
      </x:c>
    </x:row>
    <x:row r="14" ht="44" hidden="0" customHeight="1">
      <x:c r="A14" s="24" t="str">
        <x:v>R-10</x:v>
      </x:c>
      <x:c r="B14" s="24" t="str">
        <x:v>Sensitive data leakage through logs and evidence</x:v>
      </x:c>
      <x:c r="C14" s="24" t="str">
        <x:v>FE-01; FE-07</x:v>
      </x:c>
      <x:c r="D14" s="30" t="n">
        <x:v>3</x:v>
      </x:c>
      <x:c r="E14" s="30" t="n">
        <x:v>2</x:v>
      </x:c>
      <x:c r="F14" s="33" t="str">
        <x:f>IF(D14*E14&gt;=12,"Critical",IF(D14*E14&gt;=8,"High",IF(D14*E14&gt;=4,"Medium","Low")))</x:f>
        <x:v>Medium</x:v>
      </x:c>
      <x:c r="G14" s="24" t="str">
        <x:v>Reduce</x:v>
      </x:c>
      <x:c r="H14" s="30" t="n">
        <x:v>3</x:v>
      </x:c>
      <x:c r="I14" s="30" t="n">
        <x:v>1</x:v>
      </x:c>
      <x:c r="J14" s="34" t="n">
        <x:f>H14*I14</x:f>
        <x:v>3</x:v>
      </x:c>
      <x:c r="K14" s="34" t="str">
        <x:f>IF(J14&gt;=12,"Critical",IF(J14&gt;=8,"High",IF(J14&gt;=4,"Medium","Low")))</x:f>
        <x:v>Low</x:v>
      </x:c>
      <x:c r="L14" s="24" t="str">
        <x:v>[DECISION REQUIRED] Privacy/Logging Owner</x:v>
      </x:c>
      <x:c r="M14" s="24" t="str">
        <x:v>Open</x:v>
      </x:c>
      <x:c r="N14" s="24" t="str">
        <x:v>[ASSUMPTION] ML observability may collect high-dimensional request/output data; log schema and access are unknown.</x:v>
      </x:c>
    </x:row>
  </x:sheetData>
  <x:mergeCells>
    <x:mergeCell ref="A1:N1"/>
    <x:mergeCell ref="A2:N2"/>
  </x:mergeCells>
  <x:conditionalFormatting sqref="F5:F14">
    <x:cfRule type="containsText" dxfId="0" priority="1" operator="containsText" text="Critical"/>
    <x:cfRule type="containsText" dxfId="1" priority="2" operator="containsText" text="High"/>
  </x:conditionalFormatting>
  <x:dataValidations count="2">
    <x:dataValidation type="list" sqref="D5:E14">
      <x:formula1>"1,2,3,4"</x:formula1>
    </x:dataValidation>
    <x:dataValidation type="list" sqref="H5:I14">
      <x:formula1>"1,2,3,4"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0" hidden="0" customWidth="1"/>
    <x:col min="3" max="3" width="26" hidden="0" customWidth="1"/>
    <x:col min="4" max="4" width="54" hidden="0" customWidth="1"/>
    <x:col min="5" max="5" width="54" hidden="0" customWidth="1"/>
    <x:col min="6" max="6" width="22" hidden="0" customWidth="1"/>
    <x:col min="7" max="7" width="54" hidden="0" customWidth="1"/>
  </x:cols>
  <x:sheetData>
    <x:row r="1" ht="19.200000762939453" hidden="0" customHeight="1">
      <x:c r="A1" s="22" t="str">
        <x:v>Selected NIST SP 800-53 Control Mapping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15" hidden="0" customHeight="1">
      <x:c r="A2" s="23" t="str">
        <x:v>Selected controls treat named risks; this is not a formal baseline or compliance claim.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 ht="15" hidden="0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 ht="15" hidden="0" customHeight="1">
      <x:c r="A4" s="27" t="str">
        <x:v>Control ID</x:v>
      </x:c>
      <x:c r="B4" s="27" t="str">
        <x:v>Title</x:v>
      </x:c>
      <x:c r="C4" s="27" t="str">
        <x:v>Risk IDs</x:v>
      </x:c>
      <x:c r="D4" s="27" t="str">
        <x:v>Control objective</x:v>
      </x:c>
      <x:c r="E4" s="27" t="str">
        <x:v>Reference implementation</x:v>
      </x:c>
      <x:c r="F4" s="27" t="str">
        <x:v>Production status</x:v>
      </x:c>
      <x:c r="G4" s="27" t="str">
        <x:v>Evidence required</x:v>
      </x:c>
      <x:c r="H4" s="24"/>
      <x:c r="I4" s="24"/>
      <x:c r="J4" s="24"/>
      <x:c r="K4" s="24"/>
      <x:c r="L4" s="24"/>
      <x:c r="M4" s="24"/>
      <x:c r="N4" s="24"/>
    </x:row>
    <x:row r="5" ht="46" hidden="0" customHeight="1">
      <x:c r="A5" s="24" t="str">
        <x:v>AC-2</x:v>
      </x:c>
      <x:c r="B5" s="24" t="str">
        <x:v>Account Management</x:v>
      </x:c>
      <x:c r="C5" s="24" t="str">
        <x:v>R-01; R-09</x:v>
      </x:c>
      <x:c r="D5" s="24" t="str">
        <x:v>Provision review and remove human/service accounts across data ML registry API and logging</x:v>
      </x:c>
      <x:c r="E5" s="24" t="str">
        <x:v>Enterprise lifecycle plus non-shared service identities</x:v>
      </x:c>
      <x:c r="F5" s="24" t="str">
        <x:v>Not assessed</x:v>
      </x:c>
      <x:c r="G5" s="24" t="str">
        <x:v>Account inventory; lifecycle tickets; periodic review</x:v>
      </x:c>
      <x:c r="H5" s="24"/>
      <x:c r="I5" s="24"/>
      <x:c r="J5" s="24"/>
      <x:c r="K5" s="24"/>
      <x:c r="L5" s="24"/>
      <x:c r="M5" s="24"/>
      <x:c r="N5" s="24"/>
    </x:row>
    <x:row r="6" ht="46" hidden="0" customHeight="1">
      <x:c r="A6" s="24" t="str">
        <x:v>AC-3</x:v>
      </x:c>
      <x:c r="B6" s="24" t="str">
        <x:v>Access Enforcement</x:v>
      </x:c>
      <x:c r="C6" s="24" t="str">
        <x:v>R-01; R-05</x:v>
      </x:c>
      <x:c r="D6" s="24" t="str">
        <x:v>Enforce authorized purpose and role at every interface</x:v>
      </x:c>
      <x:c r="E6" s="24" t="str">
        <x:v>Gateway/IAM policy and resource-level checks; lab API key demonstrates only a boundary</x:v>
      </x:c>
      <x:c r="F6" s="24" t="str">
        <x:v>Prototype partial</x:v>
      </x:c>
      <x:c r="G6" s="24" t="str">
        <x:v>Policy/configuration; positive and negative authorization tests</x:v>
      </x:c>
      <x:c r="H6" s="24"/>
      <x:c r="I6" s="24"/>
      <x:c r="J6" s="24"/>
      <x:c r="K6" s="24"/>
      <x:c r="L6" s="24"/>
      <x:c r="M6" s="24"/>
      <x:c r="N6" s="24"/>
    </x:row>
    <x:row r="7" ht="46" hidden="0" customHeight="1">
      <x:c r="A7" s="24" t="str">
        <x:v>AC-5</x:v>
      </x:c>
      <x:c r="B7" s="24" t="str">
        <x:v>Separation of Duties</x:v>
      </x:c>
      <x:c r="C7" s="24" t="str">
        <x:v>R-04; R-09</x:v>
      </x:c>
      <x:c r="D7" s="24" t="str">
        <x:v>Separate data change model development validation approval and deployment</x:v>
      </x:c>
      <x:c r="E7" s="24" t="str">
        <x:v>Two-person promotion and independent validation</x:v>
      </x:c>
      <x:c r="F7" s="24" t="str">
        <x:v>Not assessed</x:v>
      </x:c>
      <x:c r="G7" s="24" t="str">
        <x:v>Role matrix; approvals; denied-action test</x:v>
      </x:c>
      <x:c r="H7" s="24"/>
      <x:c r="I7" s="24"/>
      <x:c r="J7" s="24"/>
      <x:c r="K7" s="24"/>
      <x:c r="L7" s="24"/>
      <x:c r="M7" s="24"/>
      <x:c r="N7" s="24"/>
    </x:row>
    <x:row r="8" ht="46" hidden="0" customHeight="1">
      <x:c r="A8" s="24" t="str">
        <x:v>AC-6</x:v>
      </x:c>
      <x:c r="B8" s="24" t="str">
        <x:v>Least Privilege</x:v>
      </x:c>
      <x:c r="C8" s="24" t="str">
        <x:v>R-01; R-04; R-09</x:v>
      </x:c>
      <x:c r="D8" s="24" t="str">
        <x:v>Grant minimum data model deployment and log access</x:v>
      </x:c>
      <x:c r="E8" s="24" t="str">
        <x:v>Scoped roles and short-lived workload identities</x:v>
      </x:c>
      <x:c r="F8" s="24" t="str">
        <x:v>Not assessed</x:v>
      </x:c>
      <x:c r="G8" s="24" t="str">
        <x:v>Role grants; access review; token claims</x:v>
      </x:c>
      <x:c r="H8" s="24"/>
      <x:c r="I8" s="24"/>
      <x:c r="J8" s="24"/>
      <x:c r="K8" s="24"/>
      <x:c r="L8" s="24"/>
      <x:c r="M8" s="24"/>
      <x:c r="N8" s="24"/>
    </x:row>
    <x:row r="9" ht="46" hidden="0" customHeight="1">
      <x:c r="A9" s="24" t="str">
        <x:v>AU-2</x:v>
      </x:c>
      <x:c r="B9" s="24" t="str">
        <x:v>Event Logging</x:v>
      </x:c>
      <x:c r="C9" s="24" t="str">
        <x:v>R-01; R-04; R-09</x:v>
      </x:c>
      <x:c r="D9" s="24" t="str">
        <x:v>Define and log security and model-lifecycle events</x:v>
      </x:c>
      <x:c r="E9" s="24" t="str">
        <x:v>Lab emits request/model/outcome metadata without raw feature body</x:v>
      </x:c>
      <x:c r="F9" s="24" t="str">
        <x:v>Prototype partial</x:v>
      </x:c>
      <x:c r="G9" s="24" t="str">
        <x:v>Event catalog; sample logs; stakeholder approval</x:v>
      </x:c>
      <x:c r="H9" s="24"/>
      <x:c r="I9" s="24"/>
      <x:c r="J9" s="24"/>
      <x:c r="K9" s="24"/>
      <x:c r="L9" s="24"/>
      <x:c r="M9" s="24"/>
      <x:c r="N9" s="24"/>
    </x:row>
    <x:row r="10" ht="46" hidden="0" customHeight="1">
      <x:c r="A10" s="24" t="str">
        <x:v>AU-3</x:v>
      </x:c>
      <x:c r="B10" s="24" t="str">
        <x:v>Content of Audit Records</x:v>
      </x:c>
      <x:c r="C10" s="24" t="str">
        <x:v>R-10</x:v>
      </x:c>
      <x:c r="D10" s="24" t="str">
        <x:v>Record who what when where result and model/version context</x:v>
      </x:c>
      <x:c r="E10" s="24" t="str">
        <x:v>Structured lab events include request ID action result and model version</x:v>
      </x:c>
      <x:c r="F10" s="24" t="str">
        <x:v>Prototype partial</x:v>
      </x:c>
      <x:c r="G10" s="24" t="str">
        <x:v>Schema test; sample redacted records</x:v>
      </x:c>
      <x:c r="H10" s="24"/>
      <x:c r="I10" s="24"/>
      <x:c r="J10" s="24"/>
      <x:c r="K10" s="24"/>
      <x:c r="L10" s="24"/>
      <x:c r="M10" s="24"/>
      <x:c r="N10" s="24"/>
    </x:row>
    <x:row r="11" ht="46" hidden="0" customHeight="1">
      <x:c r="A11" s="24" t="str">
        <x:v>AU-6</x:v>
      </x:c>
      <x:c r="B11" s="24" t="str">
        <x:v>Audit Record Review Analysis and Reporting</x:v>
      </x:c>
      <x:c r="C11" s="24" t="str">
        <x:v>R-01; R-05; R-09</x:v>
      </x:c>
      <x:c r="D11" s="24" t="str">
        <x:v>Detect abnormal access export query and administrative behavior</x:v>
      </x:c>
      <x:c r="E11" s="24" t="str">
        <x:v>Alerts for query bursts exports failed integrity and model promotion</x:v>
      </x:c>
      <x:c r="F11" s="24" t="str">
        <x:v>Not assessed</x:v>
      </x:c>
      <x:c r="G11" s="24" t="str">
        <x:v>Detection rules; alert simulation; tickets</x:v>
      </x:c>
      <x:c r="H11" s="24"/>
      <x:c r="I11" s="24"/>
      <x:c r="J11" s="24"/>
      <x:c r="K11" s="24"/>
      <x:c r="L11" s="24"/>
      <x:c r="M11" s="24"/>
      <x:c r="N11" s="24"/>
    </x:row>
    <x:row r="12" ht="46" hidden="0" customHeight="1">
      <x:c r="A12" s="24" t="str">
        <x:v>AU-9</x:v>
      </x:c>
      <x:c r="B12" s="24" t="str">
        <x:v>Protection of Audit Information</x:v>
      </x:c>
      <x:c r="C12" s="24" t="str">
        <x:v>R-09; R-10</x:v>
      </x:c>
      <x:c r="D12" s="24" t="str">
        <x:v>Prevent unauthorized log access modification and deletion</x:v>
      </x:c>
      <x:c r="E12" s="24" t="str">
        <x:v>Restricted append-only central logging</x:v>
      </x:c>
      <x:c r="F12" s="24" t="str">
        <x:v>Not assessed</x:v>
      </x:c>
      <x:c r="G12" s="24" t="str">
        <x:v>ACL; immutability configuration; test</x:v>
      </x:c>
      <x:c r="H12" s="24"/>
      <x:c r="I12" s="24"/>
      <x:c r="J12" s="24"/>
      <x:c r="K12" s="24"/>
      <x:c r="L12" s="24"/>
      <x:c r="M12" s="24"/>
      <x:c r="N12" s="24"/>
    </x:row>
    <x:row r="13" ht="46" hidden="0" customHeight="1">
      <x:c r="A13" s="24" t="str">
        <x:v>AU-11</x:v>
      </x:c>
      <x:c r="B13" s="24" t="str">
        <x:v>Audit Record Retention</x:v>
      </x:c>
      <x:c r="C13" s="24" t="str">
        <x:v>R-10</x:v>
      </x:c>
      <x:c r="D13" s="24" t="str">
        <x:v>Retain audit data for approved security legal and privacy needs</x:v>
      </x:c>
      <x:c r="E13" s="24" t="str">
        <x:v>Documented retention with deletion and legal-hold rules</x:v>
      </x:c>
      <x:c r="F13" s="24" t="str">
        <x:v>Not assessed</x:v>
      </x:c>
      <x:c r="G13" s="24" t="str">
        <x:v>Retention settings; deletion test; approval</x:v>
      </x:c>
      <x:c r="H13" s="24"/>
      <x:c r="I13" s="24"/>
      <x:c r="J13" s="24"/>
      <x:c r="K13" s="24"/>
      <x:c r="L13" s="24"/>
      <x:c r="M13" s="24"/>
      <x:c r="N13" s="24"/>
    </x:row>
    <x:row r="14" ht="46" hidden="0" customHeight="1">
      <x:c r="A14" s="24" t="str">
        <x:v>CA-2</x:v>
      </x:c>
      <x:c r="B14" s="24" t="str">
        <x:v>Control Assessments</x:v>
      </x:c>
      <x:c r="C14" s="24" t="str">
        <x:v>R-07</x:v>
      </x:c>
      <x:c r="D14" s="24" t="str">
        <x:v>Independently assess selected security privacy and model-risk controls</x:v>
      </x:c>
      <x:c r="E14" s="24" t="str">
        <x:v>Use this assessment plan with qualified independent reviewers</x:v>
      </x:c>
      <x:c r="F14" s="24" t="str">
        <x:v>Not assessed</x:v>
      </x:c>
      <x:c r="G14" s="24" t="str">
        <x:v>Assessment report; findings; assessor independence</x:v>
      </x:c>
      <x:c r="H14" s="24"/>
      <x:c r="I14" s="24"/>
      <x:c r="J14" s="24"/>
      <x:c r="K14" s="24"/>
      <x:c r="L14" s="24"/>
      <x:c r="M14" s="24"/>
      <x:c r="N14" s="24"/>
    </x:row>
    <x:row r="15" ht="46" hidden="0" customHeight="1">
      <x:c r="A15" s="24" t="str">
        <x:v>CA-7</x:v>
      </x:c>
      <x:c r="B15" s="24" t="str">
        <x:v>Continuous Monitoring</x:v>
      </x:c>
      <x:c r="C15" s="24" t="str">
        <x:v>R-08</x:v>
      </x:c>
      <x:c r="D15" s="24" t="str">
        <x:v>Monitor controls system changes vulnerabilities quality and risk</x:v>
      </x:c>
      <x:c r="E15" s="24" t="str">
        <x:v>Drift quality abuse security and availability metrics with triggers</x:v>
      </x:c>
      <x:c r="F15" s="24" t="str">
        <x:v>Prototype partial</x:v>
      </x:c>
      <x:c r="G15" s="24" t="str">
        <x:v>Strategy; dashboards; alerts; review minutes</x:v>
      </x:c>
      <x:c r="H15" s="24"/>
      <x:c r="I15" s="24"/>
      <x:c r="J15" s="24"/>
      <x:c r="K15" s="24"/>
      <x:c r="L15" s="24"/>
      <x:c r="M15" s="24"/>
      <x:c r="N15" s="24"/>
    </x:row>
    <x:row r="16" ht="46" hidden="0" customHeight="1">
      <x:c r="A16" s="24" t="str">
        <x:v>CM-3</x:v>
      </x:c>
      <x:c r="B16" s="24" t="str">
        <x:v>Configuration Change Control</x:v>
      </x:c>
      <x:c r="C16" s="24" t="str">
        <x:v>R-02; R-04</x:v>
      </x:c>
      <x:c r="D16" s="24" t="str">
        <x:v>Review approve test and record data feature model threshold and deployment changes</x:v>
      </x:c>
      <x:c r="E16" s="24" t="str">
        <x:v>Pull requests plus protected approval environment</x:v>
      </x:c>
      <x:c r="F16" s="24" t="str">
        <x:v>Repository partial</x:v>
      </x:c>
      <x:c r="G16" s="24" t="str">
        <x:v>Change records; reviews; deployment linkage</x:v>
      </x:c>
      <x:c r="H16" s="24"/>
      <x:c r="I16" s="24"/>
      <x:c r="J16" s="24"/>
      <x:c r="K16" s="24"/>
      <x:c r="L16" s="24"/>
      <x:c r="M16" s="24"/>
      <x:c r="N16" s="24"/>
    </x:row>
    <x:row r="17" ht="46" hidden="0" customHeight="1">
      <x:c r="A17" s="24" t="str">
        <x:v>CM-5</x:v>
      </x:c>
      <x:c r="B17" s="24" t="str">
        <x:v>Access Restrictions for Change</x:v>
      </x:c>
      <x:c r="C17" s="24" t="str">
        <x:v>R-04; R-09</x:v>
      </x:c>
      <x:c r="D17" s="24" t="str">
        <x:v>Restrict who can modify code data models thresholds and deployment</x:v>
      </x:c>
      <x:c r="E17" s="24" t="str">
        <x:v>Protected branches registry ACL and deploy role</x:v>
      </x:c>
      <x:c r="F17" s="24" t="str">
        <x:v>Repository partial</x:v>
      </x:c>
      <x:c r="G17" s="24" t="str">
        <x:v>Settings export; role test; audit trail</x:v>
      </x:c>
      <x:c r="H17" s="24"/>
      <x:c r="I17" s="24"/>
      <x:c r="J17" s="24"/>
      <x:c r="K17" s="24"/>
      <x:c r="L17" s="24"/>
      <x:c r="M17" s="24"/>
      <x:c r="N17" s="24"/>
    </x:row>
    <x:row r="18" ht="46" hidden="0" customHeight="1">
      <x:c r="A18" s="24" t="str">
        <x:v>CP-2</x:v>
      </x:c>
      <x:c r="B18" s="24" t="str">
        <x:v>Contingency Plan</x:v>
      </x:c>
      <x:c r="C18" s="24" t="str">
        <x:v>R-06</x:v>
      </x:c>
      <x:c r="D18" s="24" t="str">
        <x:v>Define service fallback recovery roles communications and exercises</x:v>
      </x:c>
      <x:c r="E18" s="24" t="str">
        <x:v>Manual sales fallback and dependency/model rollback plan</x:v>
      </x:c>
      <x:c r="F18" s="24" t="str">
        <x:v>Not assessed</x:v>
      </x:c>
      <x:c r="G18" s="24" t="str">
        <x:v>Approved plan; exercise; lessons learned</x:v>
      </x:c>
      <x:c r="H18" s="24"/>
      <x:c r="I18" s="24"/>
      <x:c r="J18" s="24"/>
      <x:c r="K18" s="24"/>
      <x:c r="L18" s="24"/>
      <x:c r="M18" s="24"/>
      <x:c r="N18" s="24"/>
    </x:row>
    <x:row r="19" ht="46" hidden="0" customHeight="1">
      <x:c r="A19" s="24" t="str">
        <x:v>CP-10</x:v>
      </x:c>
      <x:c r="B19" s="24" t="str">
        <x:v>System Recovery and Reconstitution</x:v>
      </x:c>
      <x:c r="C19" s="24" t="str">
        <x:v>R-06</x:v>
      </x:c>
      <x:c r="D19" s="24" t="str">
        <x:v>Restore a known-good service and model within approved objectives</x:v>
      </x:c>
      <x:c r="E19" s="24" t="str">
        <x:v>Immutable prior model and tested restore procedure</x:v>
      </x:c>
      <x:c r="F19" s="24" t="str">
        <x:v>Not assessed</x:v>
      </x:c>
      <x:c r="G19" s="24" t="str">
        <x:v>Restore/rollback result; timing evidence</x:v>
      </x:c>
      <x:c r="H19" s="24"/>
      <x:c r="I19" s="24"/>
      <x:c r="J19" s="24"/>
      <x:c r="K19" s="24"/>
      <x:c r="L19" s="24"/>
      <x:c r="M19" s="24"/>
      <x:c r="N19" s="24"/>
    </x:row>
    <x:row r="20" ht="46" hidden="0" customHeight="1">
      <x:c r="A20" s="24" t="str">
        <x:v>IA-2</x:v>
      </x:c>
      <x:c r="B20" s="24" t="str">
        <x:v>Identification and Authentication (Organizational Users)</x:v>
      </x:c>
      <x:c r="C20" s="24" t="str">
        <x:v>R-01; R-09</x:v>
      </x:c>
      <x:c r="D20" s="24" t="str">
        <x:v>Uniquely authenticate users with stronger protection for privileged access</x:v>
      </x:c>
      <x:c r="E20" s="24" t="str">
        <x:v>Enterprise SSO and phishing-resistant MFA</x:v>
      </x:c>
      <x:c r="F20" s="24" t="str">
        <x:v>Not assessed</x:v>
      </x:c>
      <x:c r="G20" s="24" t="str">
        <x:v>IdP policy; MFA test; exception list</x:v>
      </x:c>
      <x:c r="H20" s="24"/>
      <x:c r="I20" s="24"/>
      <x:c r="J20" s="24"/>
      <x:c r="K20" s="24"/>
      <x:c r="L20" s="24"/>
      <x:c r="M20" s="24"/>
      <x:c r="N20" s="24"/>
    </x:row>
    <x:row r="21" ht="46" hidden="0" customHeight="1">
      <x:c r="A21" s="24" t="str">
        <x:v>IR-4</x:v>
      </x:c>
      <x:c r="B21" s="24" t="str">
        <x:v>Incident Handling</x:v>
      </x:c>
      <x:c r="C21" s="24" t="str">
        <x:v>R-01; R-02; R-03; R-04; R-05; R-06; R-07; R-08; R-09; R-10</x:v>
      </x:c>
      <x:c r="D21" s="24" t="str">
        <x:v>Coordinate detection analysis containment eradication recovery and post-incident action</x:v>
      </x:c>
      <x:c r="E21" s="24" t="str">
        <x:v>AI/data/model incident playbooks linked to enterprise response</x:v>
      </x:c>
      <x:c r="F21" s="24" t="str">
        <x:v>Not assessed</x:v>
      </x:c>
      <x:c r="G21" s="24" t="str">
        <x:v>Tabletop; incident records; corrective actions</x:v>
      </x:c>
      <x:c r="H21" s="24"/>
      <x:c r="I21" s="24"/>
      <x:c r="J21" s="24"/>
      <x:c r="K21" s="24"/>
      <x:c r="L21" s="24"/>
      <x:c r="M21" s="24"/>
      <x:c r="N21" s="24"/>
    </x:row>
    <x:row r="22" ht="46" hidden="0" customHeight="1">
      <x:c r="A22" s="24" t="str">
        <x:v>IR-6</x:v>
      </x:c>
      <x:c r="B22" s="24" t="str">
        <x:v>Incident Reporting</x:v>
      </x:c>
      <x:c r="C22" s="24" t="str">
        <x:v>R-01; R-03; R-07; R-10</x:v>
      </x:c>
      <x:c r="D22" s="24" t="str">
        <x:v>Report security privacy supplier and AI incidents to required parties</x:v>
      </x:c>
      <x:c r="E22" s="24" t="str">
        <x:v>Notification matrix with timeframes and owner</x:v>
      </x:c>
      <x:c r="F22" s="24" t="str">
        <x:v>Not assessed</x:v>
      </x:c>
      <x:c r="G22" s="24" t="str">
        <x:v>Matrix; exercise; reporting evidence</x:v>
      </x:c>
      <x:c r="H22" s="24"/>
      <x:c r="I22" s="24"/>
      <x:c r="J22" s="24"/>
      <x:c r="K22" s="24"/>
      <x:c r="L22" s="24"/>
      <x:c r="M22" s="24"/>
      <x:c r="N22" s="24"/>
    </x:row>
    <x:row r="23" ht="46" hidden="0" customHeight="1">
      <x:c r="A23" s="24" t="str">
        <x:v>IR-8</x:v>
      </x:c>
      <x:c r="B23" s="24" t="str">
        <x:v>Incident Response Plan</x:v>
      </x:c>
      <x:c r="C23" s="24" t="str">
        <x:v>R-01; R-02; R-03; R-04; R-05; R-06; R-07; R-08; R-09; R-10</x:v>
      </x:c>
      <x:c r="D23" s="24" t="str">
        <x:v>Maintain approved response plan covering AI lifecycle and dependencies</x:v>
      </x:c>
      <x:c r="E23" s="24" t="str">
        <x:v>Model rollback data quarantine customer response and supplier coordination</x:v>
      </x:c>
      <x:c r="F23" s="24" t="str">
        <x:v>Not assessed</x:v>
      </x:c>
      <x:c r="G23" s="24" t="str">
        <x:v>Approved/versioned plan; annual review</x:v>
      </x:c>
      <x:c r="H23" s="24"/>
      <x:c r="I23" s="24"/>
      <x:c r="J23" s="24"/>
      <x:c r="K23" s="24"/>
      <x:c r="L23" s="24"/>
      <x:c r="M23" s="24"/>
      <x:c r="N23" s="24"/>
    </x:row>
    <x:row r="24" ht="46" hidden="0" customHeight="1">
      <x:c r="A24" s="24" t="str">
        <x:v>PM-9</x:v>
      </x:c>
      <x:c r="B24" s="24" t="str">
        <x:v>Risk Management Strategy</x:v>
      </x:c>
      <x:c r="C24" s="24" t="str">
        <x:v>R-07</x:v>
      </x:c>
      <x:c r="D24" s="24" t="str">
        <x:v>Set risk appetite methods responsibilities and decision rules</x:v>
      </x:c>
      <x:c r="E24" s="24" t="str">
        <x:v>Approved AI/system risk strategy and escalation thresholds</x:v>
      </x:c>
      <x:c r="F24" s="24" t="str">
        <x:v>Not assessed</x:v>
      </x:c>
      <x:c r="G24" s="24" t="str">
        <x:v>Strategy; risk appetite; governance minutes</x:v>
      </x:c>
      <x:c r="H24" s="24"/>
      <x:c r="I24" s="24"/>
      <x:c r="J24" s="24"/>
      <x:c r="K24" s="24"/>
      <x:c r="L24" s="24"/>
      <x:c r="M24" s="24"/>
      <x:c r="N24" s="24"/>
    </x:row>
    <x:row r="25" ht="46" hidden="0" customHeight="1">
      <x:c r="A25" s="24" t="str">
        <x:v>PT-2</x:v>
      </x:c>
      <x:c r="B25" s="24" t="str">
        <x:v>Authority to Process Personally Identifiable Information</x:v>
      </x:c>
      <x:c r="C25" s="24" t="str">
        <x:v>R-01; R-10</x:v>
      </x:c>
      <x:c r="D25" s="24" t="str">
        <x:v>Document authority and purpose for each PII processing activity</x:v>
      </x:c>
      <x:c r="E25" s="24" t="str">
        <x:v>Data inventory purpose/lawful-authority record and change review</x:v>
      </x:c>
      <x:c r="F25" s="24" t="str">
        <x:v>Not assessed</x:v>
      </x:c>
      <x:c r="G25" s="24" t="str">
        <x:v>Privacy/legal approval; data map; notice</x:v>
      </x:c>
      <x:c r="H25" s="24"/>
      <x:c r="I25" s="24"/>
      <x:c r="J25" s="24"/>
      <x:c r="K25" s="24"/>
      <x:c r="L25" s="24"/>
      <x:c r="M25" s="24"/>
      <x:c r="N25" s="24"/>
    </x:row>
    <x:row r="26" ht="46" hidden="0" customHeight="1">
      <x:c r="A26" s="24" t="str">
        <x:v>RA-3</x:v>
      </x:c>
      <x:c r="B26" s="24" t="str">
        <x:v>Risk Assessment</x:v>
      </x:c>
      <x:c r="C26" s="24" t="str">
        <x:v>R-02; R-07</x:v>
      </x:c>
      <x:c r="D26" s="24" t="str">
        <x:v>Maintain scenario based system and AI risk assessment</x:v>
      </x:c>
      <x:c r="E26" s="24" t="str">
        <x:v>EBIOS analysis reviewed after architecture and material change</x:v>
      </x:c>
      <x:c r="F26" s="24" t="str">
        <x:v>Lab draft</x:v>
      </x:c>
      <x:c r="G26" s="24" t="str">
        <x:v>Approved assessment; review record; threat inputs</x:v>
      </x:c>
      <x:c r="H26" s="24"/>
      <x:c r="I26" s="24"/>
      <x:c r="J26" s="24"/>
      <x:c r="K26" s="24"/>
      <x:c r="L26" s="24"/>
      <x:c r="M26" s="24"/>
      <x:c r="N26" s="24"/>
    </x:row>
    <x:row r="27" ht="46" hidden="0" customHeight="1">
      <x:c r="A27" s="24" t="str">
        <x:v>SA-8</x:v>
      </x:c>
      <x:c r="B27" s="24" t="str">
        <x:v>Security and Privacy Engineering Principles</x:v>
      </x:c>
      <x:c r="C27" s="24" t="str">
        <x:v>R-07</x:v>
      </x:c>
      <x:c r="D27" s="24" t="str">
        <x:v>Apply secure privacy-preserving and human-centered design principles</x:v>
      </x:c>
      <x:c r="E27" s="24" t="str">
        <x:v>Minimize outputs human review fail-safe behavior and contestability</x:v>
      </x:c>
      <x:c r="F27" s="24" t="str">
        <x:v>Prototype partial</x:v>
      </x:c>
      <x:c r="G27" s="24" t="str">
        <x:v>Design review; UI test; threat model</x:v>
      </x:c>
      <x:c r="H27" s="24"/>
      <x:c r="I27" s="24"/>
      <x:c r="J27" s="24"/>
      <x:c r="K27" s="24"/>
      <x:c r="L27" s="24"/>
      <x:c r="M27" s="24"/>
      <x:c r="N27" s="24"/>
    </x:row>
    <x:row r="28" ht="46" hidden="0" customHeight="1">
      <x:c r="A28" s="24" t="str">
        <x:v>SA-10</x:v>
      </x:c>
      <x:c r="B28" s="24" t="str">
        <x:v>Developer Configuration Management</x:v>
      </x:c>
      <x:c r="C28" s="24" t="str">
        <x:v>R-02</x:v>
      </x:c>
      <x:c r="D28" s="24" t="str">
        <x:v>Version and control code data configuration documentation and releases</x:v>
      </x:c>
      <x:c r="E28" s="24" t="str">
        <x:v>Git plus dataset/model digests and release linkage</x:v>
      </x:c>
      <x:c r="F28" s="24" t="str">
        <x:v>Repository partial</x:v>
      </x:c>
      <x:c r="G28" s="24" t="str">
        <x:v>Repository settings; tagged release; lineage record</x:v>
      </x:c>
      <x:c r="H28" s="24"/>
      <x:c r="I28" s="24"/>
      <x:c r="J28" s="24"/>
      <x:c r="K28" s="24"/>
      <x:c r="L28" s="24"/>
      <x:c r="M28" s="24"/>
      <x:c r="N28" s="24"/>
    </x:row>
    <x:row r="29" ht="46" hidden="0" customHeight="1">
      <x:c r="A29" s="24" t="str">
        <x:v>SA-12</x:v>
      </x:c>
      <x:c r="B29" s="24" t="str">
        <x:v>Supply Chain Protection</x:v>
      </x:c>
      <x:c r="C29" s="24" t="str">
        <x:v>R-03</x:v>
      </x:c>
      <x:c r="D29" s="24" t="str">
        <x:v>Protect against supplier package model image and service compromise</x:v>
      </x:c>
      <x:c r="E29" s="24" t="str">
        <x:v>Risk-based supplier controls trusted sources and build isolation</x:v>
      </x:c>
      <x:c r="F29" s="24" t="str">
        <x:v>Prototype partial</x:v>
      </x:c>
      <x:c r="G29" s="24" t="str">
        <x:v>Supplier inventory; contracts; CI configuration</x:v>
      </x:c>
      <x:c r="H29" s="24"/>
      <x:c r="I29" s="24"/>
      <x:c r="J29" s="24"/>
      <x:c r="K29" s="24"/>
      <x:c r="L29" s="24"/>
      <x:c r="M29" s="24"/>
      <x:c r="N29" s="24"/>
    </x:row>
    <x:row r="30" ht="46" hidden="0" customHeight="1">
      <x:c r="A30" s="24" t="str">
        <x:v>SC-5</x:v>
      </x:c>
      <x:c r="B30" s="24" t="str">
        <x:v>Denial-of-Service Protection</x:v>
      </x:c>
      <x:c r="C30" s="24" t="str">
        <x:v>R-06</x:v>
      </x:c>
      <x:c r="D30" s="24" t="str">
        <x:v>Protect capacity and degrade safely</x:v>
      </x:c>
      <x:c r="E30" s="24" t="str">
        <x:v>Gateway limits timeouts quotas and manual fallback</x:v>
      </x:c>
      <x:c r="F30" s="24" t="str">
        <x:v>Prototype partial</x:v>
      </x:c>
      <x:c r="G30" s="24" t="str">
        <x:v>Load/abuse test; rate-limit config; fallback exercise</x:v>
      </x:c>
      <x:c r="H30" s="24"/>
      <x:c r="I30" s="24"/>
      <x:c r="J30" s="24"/>
      <x:c r="K30" s="24"/>
      <x:c r="L30" s="24"/>
      <x:c r="M30" s="24"/>
      <x:c r="N30" s="24"/>
    </x:row>
    <x:row r="31" ht="46" hidden="0" customHeight="1">
      <x:c r="A31" s="24" t="str">
        <x:v>SC-7</x:v>
      </x:c>
      <x:c r="B31" s="24" t="str">
        <x:v>Boundary Protection</x:v>
      </x:c>
      <x:c r="C31" s="24" t="str">
        <x:v>R-05</x:v>
      </x:c>
      <x:c r="D31" s="24" t="str">
        <x:v>Control connections and information flows across trust zones</x:v>
      </x:c>
      <x:c r="E31" s="24" t="str">
        <x:v>Private endpoints egress restriction gateway and segmented ML zone</x:v>
      </x:c>
      <x:c r="F31" s="24" t="str">
        <x:v>Not assessed</x:v>
      </x:c>
      <x:c r="G31" s="24" t="str">
        <x:v>Network diagram; rules; connectivity tests</x:v>
      </x:c>
      <x:c r="H31" s="24"/>
      <x:c r="I31" s="24"/>
      <x:c r="J31" s="24"/>
      <x:c r="K31" s="24"/>
      <x:c r="L31" s="24"/>
      <x:c r="M31" s="24"/>
      <x:c r="N31" s="24"/>
    </x:row>
    <x:row r="32" ht="46" hidden="0" customHeight="1">
      <x:c r="A32" s="24" t="str">
        <x:v>SC-8</x:v>
      </x:c>
      <x:c r="B32" s="24" t="str">
        <x:v>Transmission Confidentiality and Integrity</x:v>
      </x:c>
      <x:c r="C32" s="24" t="str">
        <x:v>R-01</x:v>
      </x:c>
      <x:c r="D32" s="24" t="str">
        <x:v>Protect sensitive flows in transit</x:v>
      </x:c>
      <x:c r="E32" s="24" t="str">
        <x:v>TLS with managed certificates and authenticated service links</x:v>
      </x:c>
      <x:c r="F32" s="24" t="str">
        <x:v>Not assessed</x:v>
      </x:c>
      <x:c r="G32" s="24" t="str">
        <x:v>TLS configuration; scan; certificate records</x:v>
      </x:c>
      <x:c r="H32" s="24"/>
      <x:c r="I32" s="24"/>
      <x:c r="J32" s="24"/>
      <x:c r="K32" s="24"/>
      <x:c r="L32" s="24"/>
      <x:c r="M32" s="24"/>
      <x:c r="N32" s="24"/>
    </x:row>
    <x:row r="33" ht="46" hidden="0" customHeight="1">
      <x:c r="A33" s="24" t="str">
        <x:v>SC-28</x:v>
      </x:c>
      <x:c r="B33" s="24" t="str">
        <x:v>Protection of Information at Rest</x:v>
      </x:c>
      <x:c r="C33" s="24" t="str">
        <x:v>R-01</x:v>
      </x:c>
      <x:c r="D33" s="24" t="str">
        <x:v>Protect customer training model secret and backup data at rest</x:v>
      </x:c>
      <x:c r="E33" s="24" t="str">
        <x:v>Managed encryption and keys separated from data access</x:v>
      </x:c>
      <x:c r="F33" s="24" t="str">
        <x:v>Not assessed</x:v>
      </x:c>
      <x:c r="G33" s="24" t="str">
        <x:v>Storage/KMS configuration; key access logs</x:v>
      </x:c>
      <x:c r="H33" s="24"/>
      <x:c r="I33" s="24"/>
      <x:c r="J33" s="24"/>
      <x:c r="K33" s="24"/>
      <x:c r="L33" s="24"/>
      <x:c r="M33" s="24"/>
      <x:c r="N33" s="24"/>
    </x:row>
    <x:row r="34" ht="46" hidden="0" customHeight="1">
      <x:c r="A34" s="24" t="str">
        <x:v>SI-2</x:v>
      </x:c>
      <x:c r="B34" s="24" t="str">
        <x:v>Flaw Remediation</x:v>
      </x:c>
      <x:c r="C34" s="24" t="str">
        <x:v>R-03</x:v>
      </x:c>
      <x:c r="D34" s="24" t="str">
        <x:v>Identify evaluate and remediate vulnerabilities within risk-based timeframes</x:v>
      </x:c>
      <x:c r="E34" s="24" t="str">
        <x:v>pip-audit Trivy advisories and tracked remediation</x:v>
      </x:c>
      <x:c r="F34" s="24" t="str">
        <x:v>Prototype partial</x:v>
      </x:c>
      <x:c r="G34" s="24" t="str">
        <x:v>Scan results; SLA; tickets; exceptions</x:v>
      </x:c>
      <x:c r="H34" s="24"/>
      <x:c r="I34" s="24"/>
      <x:c r="J34" s="24"/>
      <x:c r="K34" s="24"/>
      <x:c r="L34" s="24"/>
      <x:c r="M34" s="24"/>
      <x:c r="N34" s="24"/>
    </x:row>
    <x:row r="35" ht="46" hidden="0" customHeight="1">
      <x:c r="A35" s="24" t="str">
        <x:v>SI-4</x:v>
      </x:c>
      <x:c r="B35" s="24" t="str">
        <x:v>System Monitoring</x:v>
      </x:c>
      <x:c r="C35" s="24" t="str">
        <x:v>R-05; R-07; R-08</x:v>
      </x:c>
      <x:c r="D35" s="24" t="str">
        <x:v>Monitor security abuse quality fairness drift and failure indicators</x:v>
      </x:c>
      <x:c r="E35" s="24" t="str">
        <x:v>Metrics by approved cohort plus query/admin anomalies</x:v>
      </x:c>
      <x:c r="F35" s="24" t="str">
        <x:v>Prototype partial</x:v>
      </x:c>
      <x:c r="G35" s="24" t="str">
        <x:v>Dashboard; thresholds; alert test; review record</x:v>
      </x:c>
      <x:c r="H35" s="24"/>
      <x:c r="I35" s="24"/>
      <x:c r="J35" s="24"/>
      <x:c r="K35" s="24"/>
      <x:c r="L35" s="24"/>
      <x:c r="M35" s="24"/>
      <x:c r="N35" s="24"/>
    </x:row>
    <x:row r="36" ht="46" hidden="0" customHeight="1">
      <x:c r="A36" s="24" t="str">
        <x:v>SI-7</x:v>
      </x:c>
      <x:c r="B36" s="24" t="str">
        <x:v>Software Firmware and Information Integrity</x:v>
      </x:c>
      <x:c r="C36" s="24" t="str">
        <x:v>R-02; R-03; R-04</x:v>
      </x:c>
      <x:c r="D36" s="24" t="str">
        <x:v>Detect unauthorized change to code dependencies data and model artifacts</x:v>
      </x:c>
      <x:c r="E36" s="24" t="str">
        <x:v>Lab SHA-256 verification; production signed provenance</x:v>
      </x:c>
      <x:c r="F36" s="24" t="str">
        <x:v>Prototype partial</x:v>
      </x:c>
      <x:c r="G36" s="24" t="str">
        <x:v>Tamper test; signature/attestation; protected verification root</x:v>
      </x:c>
      <x:c r="H36" s="24"/>
      <x:c r="I36" s="24"/>
      <x:c r="J36" s="24"/>
      <x:c r="K36" s="24"/>
      <x:c r="L36" s="24"/>
      <x:c r="M36" s="24"/>
      <x:c r="N36" s="24"/>
    </x:row>
    <x:row r="37" ht="46" hidden="0" customHeight="1">
      <x:c r="A37" s="24" t="str">
        <x:v>SI-10</x:v>
      </x:c>
      <x:c r="B37" s="24" t="str">
        <x:v>Information Input Validation</x:v>
      </x:c>
      <x:c r="C37" s="24" t="str">
        <x:v>R-02; R-05</x:v>
      </x:c>
      <x:c r="D37" s="24" t="str">
        <x:v>Validate API data and training inputs against defined constraints</x:v>
      </x:c>
      <x:c r="E37" s="24" t="str">
        <x:v>Pydantic request bounds and training schema/distribution checks</x:v>
      </x:c>
      <x:c r="F37" s="24" t="str">
        <x:v>Prototype partial</x:v>
      </x:c>
      <x:c r="G37" s="24" t="str">
        <x:v>Automated negative tests; data-quality report</x:v>
      </x:c>
      <x:c r="H37" s="24"/>
      <x:c r="I37" s="24"/>
      <x:c r="J37" s="24"/>
      <x:c r="K37" s="24"/>
      <x:c r="L37" s="24"/>
      <x:c r="M37" s="24"/>
      <x:c r="N37" s="24"/>
    </x:row>
    <x:row r="38" ht="46" hidden="0" customHeight="1">
      <x:c r="A38" s="24" t="str">
        <x:v>SI-12</x:v>
      </x:c>
      <x:c r="B38" s="24" t="str">
        <x:v>Information Management and Retention</x:v>
      </x:c>
      <x:c r="C38" s="24" t="str">
        <x:v>R-10</x:v>
      </x:c>
      <x:c r="D38" s="24" t="str">
        <x:v>Manage information through retention disposal and minimization rules</x:v>
      </x:c>
      <x:c r="E38" s="24" t="str">
        <x:v>Separate minimal audit metadata from sensitive analytics data</x:v>
      </x:c>
      <x:c r="F38" s="24" t="str">
        <x:v>Not assessed</x:v>
      </x:c>
      <x:c r="G38" s="24" t="str">
        <x:v>Schedules; configuration; deletion evidence</x:v>
      </x:c>
      <x:c r="H38" s="24"/>
      <x:c r="I38" s="24"/>
      <x:c r="J38" s="24"/>
      <x:c r="K38" s="24"/>
      <x:c r="L38" s="24"/>
      <x:c r="M38" s="24"/>
      <x:c r="N38" s="24"/>
    </x:row>
    <x:row r="39" ht="46" hidden="0" customHeight="1">
      <x:c r="A39" s="24" t="str">
        <x:v>SI-13</x:v>
      </x:c>
      <x:c r="B39" s="24" t="str">
        <x:v>Predictable Failure Prevention</x:v>
      </x:c>
      <x:c r="C39" s="24" t="str">
        <x:v>R-06; R-08</x:v>
      </x:c>
      <x:c r="D39" s="24" t="str">
        <x:v>Detect and act before service/model failures cause unacceptable impact</x:v>
      </x:c>
      <x:c r="E39" s="24" t="str">
        <x:v>Health capacity drift and quality thresholds with stop/rollback</x:v>
      </x:c>
      <x:c r="F39" s="24" t="str">
        <x:v>Prototype partial</x:v>
      </x:c>
      <x:c r="G39" s="24" t="str">
        <x:v>Thresholds; alert and rollback exercise</x:v>
      </x:c>
      <x:c r="H39" s="24"/>
      <x:c r="I39" s="24"/>
      <x:c r="J39" s="24"/>
      <x:c r="K39" s="24"/>
      <x:c r="L39" s="24"/>
      <x:c r="M39" s="24"/>
      <x:c r="N39" s="24"/>
    </x:row>
    <x:row r="40" ht="46" hidden="0" customHeight="1">
      <x:c r="A40" s="24" t="str">
        <x:v>SR-3</x:v>
      </x:c>
      <x:c r="B40" s="24" t="str">
        <x:v>Supply Chain Controls and Processes</x:v>
      </x:c>
      <x:c r="C40" s="24" t="str">
        <x:v>R-03</x:v>
      </x:c>
      <x:c r="D40" s="24" t="str">
        <x:v>Establish processes for supplier and component risk</x:v>
      </x:c>
      <x:c r="E40" s="24" t="str">
        <x:v>Inventory assess approve monitor and offboard packages/models/vendors</x:v>
      </x:c>
      <x:c r="F40" s="24" t="str">
        <x:v>Prototype partial</x:v>
      </x:c>
      <x:c r="G40" s="24" t="str">
        <x:v>Procedure; inventory; reviews; exceptions</x:v>
      </x:c>
      <x:c r="H40" s="24"/>
      <x:c r="I40" s="24"/>
      <x:c r="J40" s="24"/>
      <x:c r="K40" s="24"/>
      <x:c r="L40" s="24"/>
      <x:c r="M40" s="24"/>
      <x:c r="N40" s="24"/>
    </x:row>
    <x:row r="41" ht="46" hidden="0" customHeight="1">
      <x:c r="A41" s="24" t="str">
        <x:v>SR-4</x:v>
      </x:c>
      <x:c r="B41" s="24" t="str">
        <x:v>Provenance</x:v>
      </x:c>
      <x:c r="C41" s="24" t="str">
        <x:v>R-03</x:v>
      </x:c>
      <x:c r="D41" s="24" t="str">
        <x:v>Record and verify origin and custody of components data and models</x:v>
      </x:c>
      <x:c r="E41" s="24" t="str">
        <x:v>Dependency hashes dataset digest build identity and signed artifact</x:v>
      </x:c>
      <x:c r="F41" s="24" t="str">
        <x:v>Prototype partial</x:v>
      </x:c>
      <x:c r="G41" s="24" t="str">
        <x:v>SBOM; attestations; lineage; verification logs</x:v>
      </x:c>
      <x:c r="H41" s="24"/>
      <x:c r="I41" s="24"/>
      <x:c r="J41" s="24"/>
      <x:c r="K41" s="24"/>
      <x:c r="L41" s="24"/>
      <x:c r="M41" s="24"/>
      <x:c r="N41" s="24"/>
    </x:row>
    <x:row r="42" ht="46" hidden="0" customHeight="1">
      <x:c r="A42" s="24" t="str">
        <x:v>SR-11</x:v>
      </x:c>
      <x:c r="B42" s="24" t="str">
        <x:v>Component Authenticity</x:v>
      </x:c>
      <x:c r="C42" s="24" t="str">
        <x:v>R-03</x:v>
      </x:c>
      <x:c r="D42" s="24" t="str">
        <x:v>Verify components are genuine before use</x:v>
      </x:c>
      <x:c r="E42" s="24" t="str">
        <x:v>Signature/hash verification from trusted registries</x:v>
      </x:c>
      <x:c r="F42" s="24" t="str">
        <x:v>Prototype partial</x:v>
      </x:c>
      <x:c r="G42" s="24" t="str">
        <x:v>Verification policy and failed-authenticity test</x:v>
      </x:c>
      <x:c r="H42" s="24"/>
      <x:c r="I42" s="24"/>
      <x:c r="J42" s="24"/>
      <x:c r="K42" s="24"/>
      <x:c r="L42" s="24"/>
      <x:c r="M42" s="24"/>
      <x:c r="N42" s="24"/>
    </x:row>
  </x:sheetData>
  <x:mergeCells>
    <x:mergeCell ref="A1:N1"/>
    <x:mergeCell ref="A2:N2"/>
  </x:mergeCells>
  <x:pageMargins left="0.7" right="0.7" top="0.75" bottom="0.75" header="0.3" footer="0.3"/>
</x:worksheet>
</file>